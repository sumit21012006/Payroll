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0" yWindow="630" windowWidth="24435" windowHeight="11265" tabRatio="600" firstSheet="0" activeTab="0" autoFilterDateGrouping="1"/>
  </bookViews>
  <sheets>
    <sheet name="(PF) WAGESH MAY-26 Load-01" sheetId="1" state="visible" r:id="rId1"/>
    <sheet name="Load Basis Work Database" sheetId="2" state="visible" r:id="rId2"/>
  </sheets>
  <definedNames>
    <definedName name="_xlnm._FilterDatabase" localSheetId="0" hidden="1">'(PF) WAGESH MAY-26 Load-01'!$A$7:$AA$121</definedName>
  </definedNames>
  <calcPr calcId="144525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_(* #,##0_);_(* \(#,##0\);_(* &quot;-&quot;??_);_(@_)"/>
    <numFmt numFmtId="166" formatCode="_ * #,##0.00_ ;_ * \-#,##0.00_ ;_ * &quot;-&quot;??_ ;_ @_ "/>
    <numFmt numFmtId="167" formatCode="_(&quot;Rs.&quot;* #,##0.00_);_(&quot;Rs.&quot;* \(#,##0.00\);_(&quot;Rs.&quot;* &quot;-&quot;??_);_(@_)"/>
    <numFmt numFmtId="168" formatCode="[$-F800]dddd\,\ mmmm\ dd\,\ yyyy"/>
    <numFmt numFmtId="169" formatCode="[$₹-4009]#,##0.00;[Red]&quot;-&quot;[$₹-4009]#,##0.00"/>
    <numFmt numFmtId="170" formatCode="#,##0.000"/>
  </numFmts>
  <fonts count="58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Times New Roman"/>
      <family val="1"/>
      <sz val="10"/>
    </font>
    <font>
      <name val="Times New Roman"/>
      <family val="1"/>
      <color theme="1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Calibri"/>
      <family val="2"/>
      <color indexed="20"/>
      <sz val="11"/>
    </font>
    <font>
      <name val="Liberation Sans"/>
      <charset val="134"/>
      <color rgb="FFCC0000"/>
      <sz val="10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Liberation Sans"/>
      <charset val="134"/>
      <b val="1"/>
      <color rgb="FFFFFFFF"/>
      <sz val="10"/>
    </font>
    <font>
      <name val="Calibri"/>
      <family val="2"/>
      <i val="1"/>
      <color indexed="23"/>
      <sz val="11"/>
    </font>
    <font>
      <name val="Liberation Sans"/>
      <charset val="134"/>
      <i val="1"/>
      <color rgb="FF808080"/>
      <sz val="10"/>
    </font>
    <font>
      <name val="Calibri"/>
      <family val="2"/>
      <color indexed="17"/>
      <sz val="11"/>
    </font>
    <font>
      <name val="Liberation Sans"/>
      <charset val="134"/>
      <color rgb="FF006600"/>
      <sz val="10"/>
    </font>
    <font>
      <name val="Liberation Sans"/>
      <charset val="134"/>
      <b val="1"/>
      <color rgb="FF000000"/>
      <sz val="24"/>
    </font>
    <font>
      <name val="Calibri"/>
      <family val="2"/>
      <b val="1"/>
      <color indexed="56"/>
      <sz val="15"/>
    </font>
    <font>
      <name val="Liberation Sans"/>
      <charset val="134"/>
      <color rgb="FF000000"/>
      <sz val="18"/>
    </font>
    <font>
      <name val="Calibri"/>
      <family val="2"/>
      <b val="1"/>
      <color indexed="56"/>
      <sz val="13"/>
    </font>
    <font>
      <name val="Liberation Sans"/>
      <charset val="134"/>
      <color rgb="FF000000"/>
      <sz val="12"/>
    </font>
    <font>
      <name val="Calibri"/>
      <family val="2"/>
      <b val="1"/>
      <color indexed="56"/>
      <sz val="11"/>
    </font>
    <font>
      <name val="Arial"/>
      <family val="2"/>
      <b val="1"/>
      <i val="1"/>
      <color theme="1"/>
      <sz val="16"/>
    </font>
    <font>
      <name val="Liberation Sans"/>
      <charset val="134"/>
      <b val="1"/>
      <i val="1"/>
      <color theme="1"/>
      <sz val="16"/>
    </font>
    <font>
      <name val="Calibri"/>
      <family val="2"/>
      <color theme="10"/>
      <sz val="11"/>
      <u val="single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Liberation Sans"/>
      <charset val="134"/>
      <color rgb="FF996600"/>
      <sz val="10"/>
    </font>
    <font>
      <name val="Calibri"/>
      <family val="2"/>
      <sz val="11"/>
    </font>
    <font>
      <name val="Liberation Sans"/>
      <charset val="134"/>
      <color rgb="FF000000"/>
      <sz val="11"/>
    </font>
    <font>
      <name val="Arial"/>
      <family val="2"/>
      <color indexed="8"/>
      <sz val="10"/>
    </font>
    <font>
      <name val="Liberation Sans"/>
      <charset val="134"/>
      <color theme="1"/>
      <sz val="11"/>
    </font>
    <font>
      <name val="Arial"/>
      <family val="2"/>
      <color theme="1"/>
      <sz val="11"/>
    </font>
    <font>
      <name val="Liberation Sans"/>
      <charset val="134"/>
      <color rgb="FF333333"/>
      <sz val="10"/>
    </font>
    <font>
      <name val="Calibri"/>
      <family val="2"/>
      <b val="1"/>
      <color indexed="63"/>
      <sz val="11"/>
    </font>
    <font>
      <name val="Liberation Sans"/>
      <charset val="134"/>
      <b val="1"/>
      <i val="1"/>
      <color theme="1"/>
      <sz val="11"/>
      <u val="single"/>
    </font>
    <font>
      <name val="Arial"/>
      <family val="2"/>
      <b val="1"/>
      <i val="1"/>
      <color theme="1"/>
      <sz val="11"/>
      <u val="single"/>
    </font>
    <font>
      <name val="Helv"/>
      <charset val="204"/>
      <sz val="10"/>
    </font>
    <font>
      <name val="Cambria"/>
      <family val="1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Calibri"/>
      <color theme="1"/>
      <sz val="10"/>
    </font>
    <font>
      <name val="Calibri"/>
      <color rgb="FF000000"/>
      <sz val="10"/>
    </font>
    <font>
      <name val="Calibri"/>
      <b val="1"/>
      <color theme="1"/>
      <sz val="10"/>
    </font>
    <font>
      <name val="Times New Roman"/>
      <color theme="1"/>
      <sz val="10"/>
    </font>
    <font>
      <name val="Times New Roman"/>
      <color rgb="FF000000"/>
      <sz val="10"/>
    </font>
    <font>
      <name val="Calibri"/>
      <b val="1"/>
      <color rgb="00FFFFFF"/>
      <sz val="11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indexed="26"/>
        <bgColor indexed="64"/>
      </patternFill>
    </fill>
    <fill>
      <patternFill patternType="solid">
        <fgColor rgb="001F2937"/>
        <bgColor rgb="001F2937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13">
    <xf numFmtId="0" fontId="0" fillId="0" borderId="0"/>
    <xf numFmtId="0" fontId="2" fillId="0" borderId="0"/>
    <xf numFmtId="43" fontId="2" fillId="0" borderId="0"/>
    <xf numFmtId="0" fontId="7" fillId="0" borderId="0"/>
    <xf numFmtId="43" fontId="2" fillId="0" borderId="0"/>
    <xf numFmtId="0" fontId="8" fillId="0" borderId="0"/>
    <xf numFmtId="0" fontId="12" fillId="0" borderId="0"/>
    <xf numFmtId="0" fontId="12" fillId="0" borderId="0" applyAlignment="1">
      <alignment vertical="top"/>
    </xf>
    <xf numFmtId="0" fontId="13" fillId="6" borderId="0"/>
    <xf numFmtId="0" fontId="13" fillId="7" borderId="0"/>
    <xf numFmtId="0" fontId="13" fillId="8" borderId="0"/>
    <xf numFmtId="0" fontId="13" fillId="9" borderId="0"/>
    <xf numFmtId="0" fontId="13" fillId="10" borderId="0"/>
    <xf numFmtId="0" fontId="13" fillId="11" borderId="0"/>
    <xf numFmtId="0" fontId="13" fillId="12" borderId="0"/>
    <xf numFmtId="0" fontId="13" fillId="13" borderId="0"/>
    <xf numFmtId="0" fontId="13" fillId="14" borderId="0"/>
    <xf numFmtId="0" fontId="13" fillId="9" borderId="0"/>
    <xf numFmtId="0" fontId="13" fillId="12" borderId="0"/>
    <xf numFmtId="0" fontId="13" fillId="15" borderId="0"/>
    <xf numFmtId="0" fontId="14" fillId="16" borderId="0"/>
    <xf numFmtId="0" fontId="14" fillId="13" borderId="0"/>
    <xf numFmtId="0" fontId="14" fillId="14" borderId="0"/>
    <xf numFmtId="0" fontId="14" fillId="17" borderId="0"/>
    <xf numFmtId="0" fontId="14" fillId="18" borderId="0"/>
    <xf numFmtId="0" fontId="14" fillId="19" borderId="0"/>
    <xf numFmtId="0" fontId="15" fillId="0" borderId="0"/>
    <xf numFmtId="0" fontId="16" fillId="20" borderId="0"/>
    <xf numFmtId="0" fontId="16" fillId="20" borderId="0"/>
    <xf numFmtId="0" fontId="16" fillId="21" borderId="0"/>
    <xf numFmtId="0" fontId="16" fillId="21" borderId="0"/>
    <xf numFmtId="0" fontId="15" fillId="22" borderId="0"/>
    <xf numFmtId="0" fontId="15" fillId="22" borderId="0"/>
    <xf numFmtId="0" fontId="15" fillId="0" borderId="0"/>
    <xf numFmtId="0" fontId="14" fillId="23" borderId="0"/>
    <xf numFmtId="0" fontId="14" fillId="24" borderId="0"/>
    <xf numFmtId="0" fontId="14" fillId="25" borderId="0"/>
    <xf numFmtId="0" fontId="14" fillId="17" borderId="0"/>
    <xf numFmtId="0" fontId="14" fillId="18" borderId="0"/>
    <xf numFmtId="0" fontId="14" fillId="26" borderId="0"/>
    <xf numFmtId="0" fontId="17" fillId="7" borderId="0"/>
    <xf numFmtId="0" fontId="18" fillId="27" borderId="0"/>
    <xf numFmtId="0" fontId="18" fillId="27" borderId="0"/>
    <xf numFmtId="0" fontId="19" fillId="28" borderId="6"/>
    <xf numFmtId="0" fontId="19" fillId="28" borderId="6"/>
    <xf numFmtId="0" fontId="20" fillId="29" borderId="7"/>
    <xf numFmtId="43" fontId="2" fillId="0" borderId="0"/>
    <xf numFmtId="164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3" fontId="2" fillId="0" borderId="0"/>
    <xf numFmtId="43" fontId="2" fillId="0" borderId="0"/>
    <xf numFmtId="43" fontId="2" fillId="0" borderId="0"/>
    <xf numFmtId="43" fontId="12" fillId="0" borderId="0"/>
    <xf numFmtId="43" fontId="12" fillId="0" borderId="0"/>
    <xf numFmtId="43" fontId="2" fillId="0" borderId="0"/>
    <xf numFmtId="43" fontId="12" fillId="0" borderId="0"/>
    <xf numFmtId="43" fontId="12" fillId="0" borderId="0"/>
    <xf numFmtId="43" fontId="2" fillId="0" borderId="0"/>
    <xf numFmtId="43" fontId="2" fillId="0" borderId="0"/>
    <xf numFmtId="167" fontId="12" fillId="0" borderId="0"/>
    <xf numFmtId="0" fontId="21" fillId="30" borderId="0"/>
    <xf numFmtId="0" fontId="21" fillId="30" borderId="0"/>
    <xf numFmtId="0" fontId="12" fillId="0" borderId="0"/>
    <xf numFmtId="0" fontId="10" fillId="0" borderId="0" applyAlignment="1">
      <alignment vertical="center"/>
    </xf>
    <xf numFmtId="0" fontId="12" fillId="0" borderId="0"/>
    <xf numFmtId="0" fontId="22" fillId="0" borderId="0"/>
    <xf numFmtId="0" fontId="23" fillId="0" borderId="0"/>
    <xf numFmtId="0" fontId="23" fillId="0" borderId="0"/>
    <xf numFmtId="0" fontId="24" fillId="8" borderId="0"/>
    <xf numFmtId="0" fontId="25" fillId="31" borderId="0"/>
    <xf numFmtId="0" fontId="25" fillId="31" borderId="0"/>
    <xf numFmtId="0" fontId="26" fillId="0" borderId="0"/>
    <xf numFmtId="0" fontId="27" fillId="0" borderId="8"/>
    <xf numFmtId="0" fontId="28" fillId="0" borderId="0"/>
    <xf numFmtId="0" fontId="28" fillId="0" borderId="0"/>
    <xf numFmtId="0" fontId="29" fillId="0" borderId="9"/>
    <xf numFmtId="0" fontId="30" fillId="0" borderId="0"/>
    <xf numFmtId="0" fontId="30" fillId="0" borderId="0"/>
    <xf numFmtId="0" fontId="31" fillId="0" borderId="10"/>
    <xf numFmtId="0" fontId="31" fillId="0" borderId="0"/>
    <xf numFmtId="0" fontId="32" fillId="0" borderId="0" applyAlignment="1">
      <alignment horizontal="center"/>
    </xf>
    <xf numFmtId="0" fontId="26" fillId="0" borderId="0"/>
    <xf numFmtId="0" fontId="32" fillId="0" borderId="0" applyAlignment="1">
      <alignment horizontal="center"/>
    </xf>
    <xf numFmtId="0" fontId="33" fillId="0" borderId="0" applyAlignment="1">
      <alignment horizontal="center"/>
    </xf>
    <xf numFmtId="0" fontId="26" fillId="0" borderId="0" applyAlignment="1">
      <alignment textRotation="90"/>
    </xf>
    <xf numFmtId="0" fontId="32" fillId="0" borderId="0" applyAlignment="1">
      <alignment horizontal="center" textRotation="90"/>
    </xf>
    <xf numFmtId="0" fontId="26" fillId="0" borderId="0" applyAlignment="1">
      <alignment textRotation="90"/>
    </xf>
    <xf numFmtId="0" fontId="34" fillId="0" borderId="0"/>
    <xf numFmtId="0" fontId="35" fillId="11" borderId="6"/>
    <xf numFmtId="0" fontId="35" fillId="11" borderId="6"/>
    <xf numFmtId="0" fontId="36" fillId="0" borderId="11"/>
    <xf numFmtId="0" fontId="37" fillId="32" borderId="0"/>
    <xf numFmtId="0" fontId="38" fillId="33" borderId="0"/>
    <xf numFmtId="0" fontId="38" fillId="33" borderId="0"/>
    <xf numFmtId="0" fontId="39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0" fillId="0" borderId="0"/>
    <xf numFmtId="0" fontId="41" fillId="0" borderId="0" applyAlignment="1">
      <alignment vertical="top"/>
    </xf>
    <xf numFmtId="0" fontId="40" fillId="0" borderId="0"/>
    <xf numFmtId="0" fontId="12" fillId="0" borderId="0"/>
    <xf numFmtId="0" fontId="2" fillId="0" borderId="0"/>
    <xf numFmtId="165" fontId="1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42" fillId="0" borderId="0"/>
    <xf numFmtId="0" fontId="12" fillId="0" borderId="0"/>
    <xf numFmtId="0" fontId="2" fillId="0" borderId="0"/>
    <xf numFmtId="168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2" fillId="0" borderId="0"/>
    <xf numFmtId="0" fontId="43" fillId="0" borderId="0"/>
    <xf numFmtId="0" fontId="12" fillId="0" borderId="0"/>
    <xf numFmtId="0" fontId="42" fillId="0" borderId="0"/>
    <xf numFmtId="0" fontId="2" fillId="0" borderId="0"/>
    <xf numFmtId="0" fontId="2" fillId="0" borderId="0"/>
    <xf numFmtId="0" fontId="41" fillId="0" borderId="0" applyAlignment="1">
      <alignment vertical="top"/>
    </xf>
    <xf numFmtId="0" fontId="12" fillId="0" borderId="0"/>
    <xf numFmtId="168" fontId="12" fillId="0" borderId="0"/>
    <xf numFmtId="0" fontId="12" fillId="0" borderId="0"/>
    <xf numFmtId="0" fontId="4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168" fontId="2" fillId="0" borderId="0"/>
    <xf numFmtId="168" fontId="2" fillId="0" borderId="0"/>
    <xf numFmtId="0" fontId="12" fillId="34" borderId="12"/>
    <xf numFmtId="0" fontId="44" fillId="33" borderId="13"/>
    <xf numFmtId="0" fontId="12" fillId="34" borderId="12"/>
    <xf numFmtId="0" fontId="44" fillId="33" borderId="13"/>
    <xf numFmtId="0" fontId="45" fillId="28" borderId="14"/>
    <xf numFmtId="0" fontId="45" fillId="28" borderId="14"/>
    <xf numFmtId="0" fontId="46" fillId="0" borderId="0"/>
    <xf numFmtId="0" fontId="47" fillId="0" borderId="0"/>
    <xf numFmtId="0" fontId="46" fillId="0" borderId="0"/>
    <xf numFmtId="169" fontId="46" fillId="0" borderId="0"/>
    <xf numFmtId="169" fontId="47" fillId="0" borderId="0"/>
    <xf numFmtId="169" fontId="46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49" fillId="0" borderId="0"/>
    <xf numFmtId="0" fontId="50" fillId="0" borderId="15"/>
    <xf numFmtId="0" fontId="50" fillId="0" borderId="15"/>
    <xf numFmtId="0" fontId="18" fillId="0" borderId="0"/>
    <xf numFmtId="0" fontId="18" fillId="0" borderId="0"/>
    <xf numFmtId="0" fontId="51" fillId="0" borderId="0"/>
    <xf numFmtId="0" fontId="12" fillId="34" borderId="0"/>
    <xf numFmtId="0" fontId="12" fillId="34" borderId="0"/>
  </cellStyleXfs>
  <cellXfs count="138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center" vertical="center" wrapText="1"/>
    </xf>
    <xf numFmtId="1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164" fontId="4" fillId="0" borderId="0" applyAlignment="1" pivotButton="0" quotePrefix="0" xfId="1">
      <alignment horizontal="center" vertical="center" wrapText="1"/>
    </xf>
    <xf numFmtId="165" fontId="3" fillId="0" borderId="0" applyAlignment="1" pivotButton="0" quotePrefix="0" xfId="2">
      <alignment vertical="center"/>
    </xf>
    <xf numFmtId="164" fontId="3" fillId="0" borderId="0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 textRotation="90" wrapText="1"/>
    </xf>
    <xf numFmtId="0" fontId="3" fillId="0" borderId="0" applyAlignment="1" pivotButton="0" quotePrefix="0" xfId="1">
      <alignment horizontal="center" vertical="center" textRotation="90"/>
    </xf>
    <xf numFmtId="0" fontId="3" fillId="2" borderId="0" applyAlignment="1" pivotButton="0" quotePrefix="0" xfId="1">
      <alignment horizontal="center" vertical="center" textRotation="90" wrapText="1"/>
    </xf>
    <xf numFmtId="0" fontId="4" fillId="2" borderId="0" applyAlignment="1" pivotButton="0" quotePrefix="0" xfId="1">
      <alignment horizontal="center" vertical="center" wrapText="1"/>
    </xf>
    <xf numFmtId="2" fontId="3" fillId="0" borderId="0" applyAlignment="1" pivotButton="0" quotePrefix="0" xfId="1">
      <alignment vertical="center" wrapText="1"/>
    </xf>
    <xf numFmtId="2" fontId="3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vertical="center"/>
    </xf>
    <xf numFmtId="1" fontId="4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center" vertical="center" wrapText="1"/>
    </xf>
    <xf numFmtId="1" fontId="4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vertical="center" wrapText="1"/>
    </xf>
    <xf numFmtId="165" fontId="5" fillId="0" borderId="0" applyAlignment="1" pivotButton="0" quotePrefix="0" xfId="1">
      <alignment horizontal="center" vertical="center" wrapText="1"/>
    </xf>
    <xf numFmtId="166" fontId="5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1" fontId="3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vertical="center" wrapText="1"/>
    </xf>
    <xf numFmtId="164" fontId="5" fillId="0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vertical="center" wrapText="1"/>
    </xf>
    <xf numFmtId="164" fontId="6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textRotation="90" wrapText="1"/>
    </xf>
    <xf numFmtId="0" fontId="6" fillId="0" borderId="1" applyAlignment="1" pivotButton="0" quotePrefix="0" xfId="1">
      <alignment horizontal="center" vertical="center"/>
    </xf>
    <xf numFmtId="1" fontId="3" fillId="0" borderId="1" pivotButton="0" quotePrefix="0" xfId="1"/>
    <xf numFmtId="0" fontId="7" fillId="2" borderId="2" applyAlignment="1" pivotButton="0" quotePrefix="0" xfId="3">
      <alignment horizontal="center"/>
    </xf>
    <xf numFmtId="0" fontId="7" fillId="0" borderId="1" pivotButton="0" quotePrefix="0" xfId="3"/>
    <xf numFmtId="1" fontId="6" fillId="0" borderId="1" applyAlignment="1" pivotButton="0" quotePrefix="0" xfId="4">
      <alignment horizontal="center" vertical="center"/>
    </xf>
    <xf numFmtId="0" fontId="7" fillId="3" borderId="2" pivotButton="0" quotePrefix="0" xfId="3"/>
    <xf numFmtId="0" fontId="6" fillId="0" borderId="1" applyAlignment="1" pivotButton="0" quotePrefix="0" xfId="3">
      <alignment vertical="center"/>
    </xf>
    <xf numFmtId="43" fontId="6" fillId="0" borderId="1" applyAlignment="1" pivotButton="0" quotePrefix="0" xfId="2">
      <alignment horizontal="center" vertical="center"/>
    </xf>
    <xf numFmtId="165" fontId="6" fillId="0" borderId="1" applyAlignment="1" pivotButton="0" quotePrefix="0" xfId="2">
      <alignment vertical="center"/>
    </xf>
    <xf numFmtId="165" fontId="6" fillId="0" borderId="1" applyAlignment="1" pivotButton="0" quotePrefix="0" xfId="2">
      <alignment horizontal="center" vertical="center"/>
    </xf>
    <xf numFmtId="1" fontId="7" fillId="0" borderId="1" applyAlignment="1" pivotButton="0" quotePrefix="0" xfId="3">
      <alignment horizontal="right"/>
    </xf>
    <xf numFmtId="165" fontId="5" fillId="0" borderId="1" applyAlignment="1" pivotButton="0" quotePrefix="0" xfId="2">
      <alignment vertical="center"/>
    </xf>
    <xf numFmtId="0" fontId="6" fillId="0" borderId="1" pivotButton="0" quotePrefix="0" xfId="3"/>
    <xf numFmtId="0" fontId="6" fillId="0" borderId="0" applyAlignment="1" pivotButton="0" quotePrefix="0" xfId="1">
      <alignment vertical="center"/>
    </xf>
    <xf numFmtId="0" fontId="7" fillId="3" borderId="1" pivotButton="0" quotePrefix="0" xfId="3"/>
    <xf numFmtId="1" fontId="0" fillId="0" borderId="1" pivotButton="0" quotePrefix="0" xfId="0"/>
    <xf numFmtId="1" fontId="0" fillId="0" borderId="1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6" fillId="2" borderId="0" applyAlignment="1" pivotButton="0" quotePrefix="0" xfId="1">
      <alignment vertical="center"/>
    </xf>
    <xf numFmtId="1" fontId="3" fillId="0" borderId="0" pivotButton="0" quotePrefix="0" xfId="1"/>
    <xf numFmtId="1" fontId="0" fillId="0" borderId="0" pivotButton="0" quotePrefix="0" xfId="0"/>
    <xf numFmtId="0" fontId="0" fillId="0" borderId="1" applyAlignment="1" pivotButton="0" quotePrefix="0" xfId="0">
      <alignment wrapText="1"/>
    </xf>
    <xf numFmtId="0" fontId="6" fillId="4" borderId="1" applyAlignment="1" pivotButton="0" quotePrefix="0" xfId="1">
      <alignment horizontal="center" vertical="center"/>
    </xf>
    <xf numFmtId="1" fontId="3" fillId="4" borderId="0" pivotButton="0" quotePrefix="0" xfId="1"/>
    <xf numFmtId="0" fontId="7" fillId="4" borderId="2" applyAlignment="1" pivotButton="0" quotePrefix="0" xfId="3">
      <alignment horizontal="center"/>
    </xf>
    <xf numFmtId="0" fontId="7" fillId="4" borderId="1" pivotButton="0" quotePrefix="0" xfId="3"/>
    <xf numFmtId="1" fontId="6" fillId="4" borderId="1" applyAlignment="1" pivotButton="0" quotePrefix="0" xfId="4">
      <alignment horizontal="center" vertical="center"/>
    </xf>
    <xf numFmtId="43" fontId="6" fillId="4" borderId="1" applyAlignment="1" pivotButton="0" quotePrefix="0" xfId="2">
      <alignment horizontal="center" vertical="center"/>
    </xf>
    <xf numFmtId="165" fontId="6" fillId="4" borderId="1" applyAlignment="1" pivotButton="0" quotePrefix="0" xfId="2">
      <alignment vertical="center"/>
    </xf>
    <xf numFmtId="165" fontId="6" fillId="4" borderId="1" applyAlignment="1" pivotButton="0" quotePrefix="0" xfId="2">
      <alignment horizontal="center" vertical="center"/>
    </xf>
    <xf numFmtId="1" fontId="7" fillId="4" borderId="1" applyAlignment="1" pivotButton="0" quotePrefix="0" xfId="3">
      <alignment horizontal="right"/>
    </xf>
    <xf numFmtId="165" fontId="5" fillId="4" borderId="1" applyAlignment="1" pivotButton="0" quotePrefix="0" xfId="2">
      <alignment vertical="center"/>
    </xf>
    <xf numFmtId="0" fontId="6" fillId="4" borderId="1" pivotButton="0" quotePrefix="0" xfId="3"/>
    <xf numFmtId="0" fontId="6" fillId="4" borderId="0" applyAlignment="1" pivotButton="0" quotePrefix="0" xfId="1">
      <alignment vertical="center"/>
    </xf>
    <xf numFmtId="164" fontId="7" fillId="0" borderId="1" applyAlignment="1" pivotButton="0" quotePrefix="0" xfId="3">
      <alignment horizontal="center"/>
    </xf>
    <xf numFmtId="0" fontId="7" fillId="0" borderId="1" applyAlignment="1" pivotButton="0" quotePrefix="0" xfId="3">
      <alignment horizontal="right"/>
    </xf>
    <xf numFmtId="0" fontId="7" fillId="2" borderId="1" applyAlignment="1" pivotButton="0" quotePrefix="0" xfId="3">
      <alignment horizontal="center"/>
    </xf>
    <xf numFmtId="1" fontId="0" fillId="0" borderId="0" pivotButton="0" quotePrefix="0" xfId="0"/>
    <xf numFmtId="0" fontId="0" fillId="0" borderId="1" pivotButton="0" quotePrefix="0" xfId="0"/>
    <xf numFmtId="1" fontId="0" fillId="0" borderId="4" pivotButton="0" quotePrefix="0" xfId="0"/>
    <xf numFmtId="0" fontId="0" fillId="0" borderId="5" applyAlignment="1" pivotButton="0" quotePrefix="0" xfId="0">
      <alignment wrapText="1"/>
    </xf>
    <xf numFmtId="1" fontId="9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5" borderId="1" pivotButton="0" quotePrefix="0" xfId="0"/>
    <xf numFmtId="0" fontId="0" fillId="5" borderId="1" pivotButton="0" quotePrefix="0" xfId="0"/>
    <xf numFmtId="0" fontId="0" fillId="5" borderId="4" pivotButton="0" quotePrefix="0" xfId="0"/>
    <xf numFmtId="1" fontId="0" fillId="5" borderId="1" pivotButton="0" quotePrefix="0" xfId="0"/>
    <xf numFmtId="1" fontId="6" fillId="0" borderId="1" applyAlignment="1" pivotButton="0" quotePrefix="0" xfId="1">
      <alignment horizontal="center" vertical="center"/>
    </xf>
    <xf numFmtId="1" fontId="0" fillId="0" borderId="1" pivotButton="0" quotePrefix="0" xfId="0"/>
    <xf numFmtId="0" fontId="7" fillId="0" borderId="1" applyAlignment="1" pivotButton="0" quotePrefix="0" xfId="3">
      <alignment horizontal="center"/>
    </xf>
    <xf numFmtId="0" fontId="0" fillId="0" borderId="1" pivotButton="0" quotePrefix="0" xfId="0"/>
    <xf numFmtId="0" fontId="10" fillId="0" borderId="1" pivotButton="0" quotePrefix="0" xfId="0"/>
    <xf numFmtId="1" fontId="11" fillId="0" borderId="1" pivotButton="0" quotePrefix="0" xfId="0"/>
    <xf numFmtId="0" fontId="0" fillId="0" borderId="3" applyAlignment="1" pivotButton="0" quotePrefix="0" xfId="0">
      <alignment wrapText="1"/>
    </xf>
    <xf numFmtId="0" fontId="11" fillId="0" borderId="1" pivotButton="0" quotePrefix="0" xfId="0"/>
    <xf numFmtId="0" fontId="6" fillId="0" borderId="0" applyAlignment="1" pivotButton="0" quotePrefix="0" xfId="1">
      <alignment horizontal="center" vertical="center"/>
    </xf>
    <xf numFmtId="164" fontId="5" fillId="0" borderId="0" applyAlignment="1" pivotButton="0" quotePrefix="0" xfId="1">
      <alignment vertical="center"/>
    </xf>
    <xf numFmtId="164" fontId="6" fillId="0" borderId="0" applyAlignment="1" pivotButton="0" quotePrefix="0" xfId="1">
      <alignment vertical="center"/>
    </xf>
    <xf numFmtId="164" fontId="6" fillId="0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5" fillId="2" borderId="0" applyAlignment="1" pivotButton="0" quotePrefix="0" xfId="1">
      <alignment vertical="center"/>
    </xf>
    <xf numFmtId="0" fontId="6" fillId="0" borderId="0" applyAlignment="1" pivotButton="0" quotePrefix="0" xfId="1">
      <alignment horizontal="left" vertical="center"/>
    </xf>
    <xf numFmtId="165" fontId="3" fillId="0" borderId="0" applyAlignment="1" pivotButton="0" quotePrefix="0" xfId="2">
      <alignment vertical="center"/>
    </xf>
    <xf numFmtId="166" fontId="5" fillId="0" borderId="0" applyAlignment="1" pivotButton="0" quotePrefix="0" xfId="1">
      <alignment vertical="center"/>
    </xf>
    <xf numFmtId="165" fontId="5" fillId="0" borderId="0" applyAlignment="1" pivotButton="0" quotePrefix="0" xfId="1">
      <alignment horizontal="center" vertical="center" wrapText="1"/>
    </xf>
    <xf numFmtId="166" fontId="5" fillId="0" borderId="0" applyAlignment="1" pivotButton="0" quotePrefix="0" xfId="1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2" pivotButton="0" quotePrefix="0" xfId="0"/>
    <xf numFmtId="0" fontId="52" fillId="0" borderId="22" applyAlignment="1" pivotButton="0" quotePrefix="0" xfId="1">
      <alignment horizontal="center" vertical="center"/>
    </xf>
    <xf numFmtId="1" fontId="52" fillId="0" borderId="22" pivotButton="0" quotePrefix="0" xfId="1"/>
    <xf numFmtId="0" fontId="53" fillId="2" borderId="23" applyAlignment="1" pivotButton="0" quotePrefix="0" xfId="3">
      <alignment horizontal="center"/>
    </xf>
    <xf numFmtId="0" fontId="53" fillId="0" borderId="22" pivotButton="0" quotePrefix="0" xfId="3"/>
    <xf numFmtId="1" fontId="52" fillId="0" borderId="22" applyAlignment="1" pivotButton="0" quotePrefix="0" xfId="4">
      <alignment horizontal="center" vertical="center"/>
    </xf>
    <xf numFmtId="0" fontId="53" fillId="3" borderId="23" pivotButton="0" quotePrefix="0" xfId="3"/>
    <xf numFmtId="0" fontId="52" fillId="0" borderId="22" applyAlignment="1" pivotButton="0" quotePrefix="0" xfId="3">
      <alignment vertical="center"/>
    </xf>
    <xf numFmtId="43" fontId="52" fillId="0" borderId="22" applyAlignment="1" pivotButton="0" quotePrefix="0" xfId="2">
      <alignment horizontal="center" vertical="center"/>
    </xf>
    <xf numFmtId="165" fontId="52" fillId="0" borderId="22" applyAlignment="1" pivotButton="0" quotePrefix="0" xfId="2">
      <alignment vertical="center"/>
    </xf>
    <xf numFmtId="165" fontId="52" fillId="0" borderId="22" applyAlignment="1" pivotButton="0" quotePrefix="0" xfId="2">
      <alignment horizontal="center" vertical="center"/>
    </xf>
    <xf numFmtId="1" fontId="53" fillId="0" borderId="22" applyAlignment="1" pivotButton="0" quotePrefix="0" xfId="3">
      <alignment horizontal="right"/>
    </xf>
    <xf numFmtId="165" fontId="54" fillId="0" borderId="22" applyAlignment="1" pivotButton="0" quotePrefix="0" xfId="2">
      <alignment vertical="center"/>
    </xf>
    <xf numFmtId="0" fontId="52" fillId="0" borderId="22" pivotButton="0" quotePrefix="0" xfId="3"/>
    <xf numFmtId="1" fontId="52" fillId="0" borderId="22" pivotButton="0" quotePrefix="0" xfId="0"/>
    <xf numFmtId="0" fontId="53" fillId="2" borderId="23" applyAlignment="1" pivotButton="0" quotePrefix="0" xfId="0">
      <alignment horizontal="center"/>
    </xf>
    <xf numFmtId="1" fontId="55" fillId="0" borderId="22" pivotButton="0" quotePrefix="0" xfId="1"/>
    <xf numFmtId="0" fontId="56" fillId="0" borderId="24" applyAlignment="1" pivotButton="0" quotePrefix="0" xfId="3">
      <alignment wrapText="1"/>
    </xf>
    <xf numFmtId="0" fontId="55" fillId="0" borderId="22" pivotButton="0" quotePrefix="0" xfId="3"/>
    <xf numFmtId="1" fontId="52" fillId="0" borderId="22" applyAlignment="1" pivotButton="0" quotePrefix="0" xfId="3">
      <alignment horizontal="center" vertical="center"/>
    </xf>
    <xf numFmtId="1" fontId="52" fillId="0" borderId="22" applyAlignment="1" pivotButton="0" quotePrefix="0" xfId="2">
      <alignment horizontal="center" vertical="center"/>
    </xf>
    <xf numFmtId="43" fontId="6" fillId="0" borderId="1" applyAlignment="1" pivotButton="0" quotePrefix="0" xfId="2">
      <alignment horizontal="center" vertical="center"/>
    </xf>
    <xf numFmtId="165" fontId="6" fillId="0" borderId="1" applyAlignment="1" pivotButton="0" quotePrefix="0" xfId="2">
      <alignment vertical="center"/>
    </xf>
    <xf numFmtId="165" fontId="6" fillId="0" borderId="1" applyAlignment="1" pivotButton="0" quotePrefix="0" xfId="2">
      <alignment horizontal="center" vertical="center"/>
    </xf>
    <xf numFmtId="165" fontId="5" fillId="0" borderId="1" applyAlignment="1" pivotButton="0" quotePrefix="0" xfId="2">
      <alignment vertical="center"/>
    </xf>
    <xf numFmtId="0" fontId="57" fillId="35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0" fillId="0" borderId="25" pivotButton="0" quotePrefix="0" xfId="0"/>
    <xf numFmtId="4" fontId="0" fillId="0" borderId="25" applyAlignment="1" pivotButton="0" quotePrefix="0" xfId="0">
      <alignment horizontal="right"/>
    </xf>
    <xf numFmtId="170" fontId="0" fillId="0" borderId="25" applyAlignment="1" pivotButton="0" quotePrefix="0" xfId="0">
      <alignment horizontal="right"/>
    </xf>
    <xf numFmtId="3" fontId="0" fillId="0" borderId="25" applyAlignment="1" pivotButton="0" quotePrefix="0" xfId="0">
      <alignment horizontal="right"/>
    </xf>
  </cellXfs>
  <cellStyles count="213">
    <cellStyle name="Normal" xfId="0" builtinId="0"/>
    <cellStyle name="Normal 14 2 2" xfId="1"/>
    <cellStyle name="Comma 2 4 2 2" xfId="2"/>
    <cellStyle name="Normal 2" xfId="3"/>
    <cellStyle name="Comma 2 2 2 2 2 2" xfId="4"/>
    <cellStyle name="Normal 25" xfId="5"/>
    <cellStyle name="%" xfId="6"/>
    <cellStyle name="=C:\WINNT\SYSTEM32\COMMAND.COM" xfId="7"/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" xfId="26"/>
    <cellStyle name="Accent 1" xfId="27"/>
    <cellStyle name="Accent 1 2" xfId="28"/>
    <cellStyle name="Accent 2" xfId="29"/>
    <cellStyle name="Accent 2 2" xfId="30"/>
    <cellStyle name="Accent 3" xfId="31"/>
    <cellStyle name="Accent 3 2" xfId="32"/>
    <cellStyle name="Accent 4" xfId="33"/>
    <cellStyle name="Accent1 2" xfId="34"/>
    <cellStyle name="Accent2 2" xfId="35"/>
    <cellStyle name="Accent3 2" xfId="36"/>
    <cellStyle name="Accent4 2" xfId="37"/>
    <cellStyle name="Accent5 2" xfId="38"/>
    <cellStyle name="Accent6 2" xfId="39"/>
    <cellStyle name="Bad 2" xfId="40"/>
    <cellStyle name="Bad 2 2" xfId="41"/>
    <cellStyle name="Bad 3" xfId="42"/>
    <cellStyle name="Calculation 2" xfId="43"/>
    <cellStyle name="Calculation 2 2" xfId="44"/>
    <cellStyle name="Check Cell 2" xfId="45"/>
    <cellStyle name="Comma 2" xfId="46"/>
    <cellStyle name="Comma 2 2" xfId="47"/>
    <cellStyle name="Comma 2 2 2" xfId="48"/>
    <cellStyle name="Comma 2 2 2 2" xfId="49"/>
    <cellStyle name="Comma 2 2 2 2 2" xfId="50"/>
    <cellStyle name="Comma 2 2 2 3" xfId="51"/>
    <cellStyle name="Comma 2 2 2 3 2" xfId="52"/>
    <cellStyle name="Comma 2 2 2 3 3" xfId="53"/>
    <cellStyle name="Comma 2 3" xfId="54"/>
    <cellStyle name="Comma 2 4" xfId="55"/>
    <cellStyle name="Comma 2 4 2" xfId="56"/>
    <cellStyle name="Comma 2 4 2 3" xfId="57"/>
    <cellStyle name="Comma 3" xfId="58"/>
    <cellStyle name="Comma 3 2" xfId="59"/>
    <cellStyle name="Comma 4" xfId="60"/>
    <cellStyle name="Comma 5" xfId="61"/>
    <cellStyle name="Comma 6" xfId="62"/>
    <cellStyle name="Comma 7" xfId="63"/>
    <cellStyle name="Comma 8" xfId="64"/>
    <cellStyle name="Currency 2" xfId="65"/>
    <cellStyle name="Error" xfId="66"/>
    <cellStyle name="Error 2" xfId="67"/>
    <cellStyle name="Excel Built-in Normal" xfId="68"/>
    <cellStyle name="Excel Built-in Normal 1" xfId="69"/>
    <cellStyle name="Excel Built-in Normal 2" xfId="70"/>
    <cellStyle name="Explanatory Text 2" xfId="71"/>
    <cellStyle name="Footnote" xfId="72"/>
    <cellStyle name="Footnote 2" xfId="73"/>
    <cellStyle name="Good 2" xfId="74"/>
    <cellStyle name="Good 2 2" xfId="75"/>
    <cellStyle name="Good 3" xfId="76"/>
    <cellStyle name="Heading" xfId="77"/>
    <cellStyle name="Heading 1 2" xfId="78"/>
    <cellStyle name="Heading 1 2 2" xfId="79"/>
    <cellStyle name="Heading 1 3" xfId="80"/>
    <cellStyle name="Heading 2 2" xfId="81"/>
    <cellStyle name="Heading 2 2 2" xfId="82"/>
    <cellStyle name="Heading 2 3" xfId="83"/>
    <cellStyle name="Heading 3 2" xfId="84"/>
    <cellStyle name="Heading 4 2" xfId="85"/>
    <cellStyle name="Heading 5" xfId="86"/>
    <cellStyle name="Heading 5 2" xfId="87"/>
    <cellStyle name="Heading 6" xfId="88"/>
    <cellStyle name="Heading 7" xfId="89"/>
    <cellStyle name="Heading1" xfId="90"/>
    <cellStyle name="Heading1 2" xfId="91"/>
    <cellStyle name="Heading1 2 2" xfId="92"/>
    <cellStyle name="Hyperlink 2" xfId="93"/>
    <cellStyle name="Input 2" xfId="94"/>
    <cellStyle name="Input 2 2" xfId="95"/>
    <cellStyle name="Linked Cell 2" xfId="96"/>
    <cellStyle name="Neutral 2" xfId="97"/>
    <cellStyle name="Neutral 2 2" xfId="98"/>
    <cellStyle name="Neutral 3" xfId="99"/>
    <cellStyle name="Normal 10" xfId="100"/>
    <cellStyle name="Normal 10 2" xfId="101"/>
    <cellStyle name="Normal 10 3" xfId="102"/>
    <cellStyle name="Normal 10 4" xfId="103"/>
    <cellStyle name="Normal 11" xfId="104"/>
    <cellStyle name="Normal 12" xfId="105"/>
    <cellStyle name="Normal 13" xfId="106"/>
    <cellStyle name="Normal 13 2" xfId="107"/>
    <cellStyle name="Normal 13 3" xfId="108"/>
    <cellStyle name="Normal 14" xfId="109"/>
    <cellStyle name="Normal 14 2" xfId="110"/>
    <cellStyle name="Normal 14 2 2 6" xfId="111"/>
    <cellStyle name="Normal 14 2 3" xfId="112"/>
    <cellStyle name="Normal 14 2 4" xfId="113"/>
    <cellStyle name="Normal 15" xfId="114"/>
    <cellStyle name="Normal 16" xfId="115"/>
    <cellStyle name="Normal 16 2" xfId="116"/>
    <cellStyle name="Normal 17" xfId="117"/>
    <cellStyle name="Normal 17 2" xfId="118"/>
    <cellStyle name="Normal 17 2 2" xfId="119"/>
    <cellStyle name="Normal 17 2 3" xfId="120"/>
    <cellStyle name="Normal 17 3" xfId="121"/>
    <cellStyle name="Normal 17 3 2" xfId="122"/>
    <cellStyle name="Normal 17 3 2 2" xfId="123"/>
    <cellStyle name="Normal 17 3 2 3" xfId="124"/>
    <cellStyle name="Normal 17 3 3" xfId="125"/>
    <cellStyle name="Normal 17 3 4" xfId="126"/>
    <cellStyle name="Normal 17 3 5" xfId="127"/>
    <cellStyle name="Normal 18" xfId="128"/>
    <cellStyle name="Normal 18 2" xfId="129"/>
    <cellStyle name="Normal 19" xfId="130"/>
    <cellStyle name="Normal 2 10" xfId="131"/>
    <cellStyle name="Normal 2 10 2" xfId="132"/>
    <cellStyle name="Normal 2 2" xfId="133"/>
    <cellStyle name="Normal 2 2 2" xfId="134"/>
    <cellStyle name="Normal 2 2 2 2" xfId="135"/>
    <cellStyle name="Normal 2 2 2 2 2" xfId="136"/>
    <cellStyle name="Normal 2 2 2 3" xfId="137"/>
    <cellStyle name="Normal 2 2 3" xfId="138"/>
    <cellStyle name="Normal 2 2 4" xfId="139"/>
    <cellStyle name="Normal 2 2 5" xfId="140"/>
    <cellStyle name="Normal 2 2 5 2" xfId="141"/>
    <cellStyle name="Normal 2 2 6" xfId="142"/>
    <cellStyle name="Normal 2 3" xfId="143"/>
    <cellStyle name="Normal 2 3 2" xfId="144"/>
    <cellStyle name="Normal 2 3 3" xfId="145"/>
    <cellStyle name="Normal 2 4" xfId="146"/>
    <cellStyle name="Normal 2 5" xfId="147"/>
    <cellStyle name="Normal 2 6" xfId="148"/>
    <cellStyle name="Normal 20" xfId="149"/>
    <cellStyle name="Normal 21" xfId="150"/>
    <cellStyle name="Normal 22" xfId="151"/>
    <cellStyle name="Normal 23" xfId="152"/>
    <cellStyle name="Normal 23 2" xfId="153"/>
    <cellStyle name="Normal 24" xfId="154"/>
    <cellStyle name="Normal 26" xfId="155"/>
    <cellStyle name="Normal 26 2" xfId="156"/>
    <cellStyle name="Normal 26 3" xfId="157"/>
    <cellStyle name="Normal 27" xfId="158"/>
    <cellStyle name="Normal 3" xfId="159"/>
    <cellStyle name="Normal 3 2" xfId="160"/>
    <cellStyle name="Normal 3 2 10" xfId="161"/>
    <cellStyle name="Normal 3 2 2" xfId="162"/>
    <cellStyle name="Normal 3 2 3" xfId="163"/>
    <cellStyle name="Normal 3 2 4" xfId="164"/>
    <cellStyle name="Normal 3 2 5" xfId="165"/>
    <cellStyle name="Normal 3 2 6" xfId="166"/>
    <cellStyle name="Normal 3 2 7" xfId="167"/>
    <cellStyle name="Normal 3 2 8" xfId="168"/>
    <cellStyle name="Normal 3 2 9" xfId="169"/>
    <cellStyle name="Normal 3 3" xfId="170"/>
    <cellStyle name="Normal 3 4" xfId="171"/>
    <cellStyle name="Normal 4" xfId="172"/>
    <cellStyle name="Normal 4 2" xfId="173"/>
    <cellStyle name="Normal 4 2 2" xfId="174"/>
    <cellStyle name="Normal 4 2 2 2" xfId="175"/>
    <cellStyle name="Normal 4 3" xfId="176"/>
    <cellStyle name="Normal 5" xfId="177"/>
    <cellStyle name="Normal 5 2" xfId="178"/>
    <cellStyle name="Normal 5 3" xfId="179"/>
    <cellStyle name="Normal 6" xfId="180"/>
    <cellStyle name="Normal 7" xfId="181"/>
    <cellStyle name="Normal 7 2" xfId="182"/>
    <cellStyle name="Normal 7 2 2" xfId="183"/>
    <cellStyle name="Normal 8" xfId="184"/>
    <cellStyle name="Normal 9" xfId="185"/>
    <cellStyle name="Normal 9 2" xfId="186"/>
    <cellStyle name="Normal 9 2 2" xfId="187"/>
    <cellStyle name="Note 2" xfId="188"/>
    <cellStyle name="Note 2 2" xfId="189"/>
    <cellStyle name="Note 2 3" xfId="190"/>
    <cellStyle name="Note 3" xfId="191"/>
    <cellStyle name="Output 2" xfId="192"/>
    <cellStyle name="Output 2 2" xfId="193"/>
    <cellStyle name="Result" xfId="194"/>
    <cellStyle name="Result 2" xfId="195"/>
    <cellStyle name="Result 2 2" xfId="196"/>
    <cellStyle name="Result2" xfId="197"/>
    <cellStyle name="Result2 2" xfId="198"/>
    <cellStyle name="Result2 2 2" xfId="199"/>
    <cellStyle name="Status" xfId="200"/>
    <cellStyle name="Status 2" xfId="201"/>
    <cellStyle name="Style 1" xfId="202"/>
    <cellStyle name="Text" xfId="203"/>
    <cellStyle name="Text 2" xfId="204"/>
    <cellStyle name="Title 2" xfId="205"/>
    <cellStyle name="Total 2" xfId="206"/>
    <cellStyle name="Total 2 2" xfId="207"/>
    <cellStyle name="Warning" xfId="208"/>
    <cellStyle name="Warning 2" xfId="209"/>
    <cellStyle name="Warning Text 2" xfId="210"/>
    <cellStyle name="Yellow" xfId="211"/>
    <cellStyle name="Yellow 2" xfId="21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29"/>
  <sheetViews>
    <sheetView tabSelected="1" zoomScale="130" zoomScaleNormal="13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D24" sqref="D24"/>
    </sheetView>
  </sheetViews>
  <sheetFormatPr baseColWidth="8" defaultColWidth="10.6640625" defaultRowHeight="12.75"/>
  <cols>
    <col width="7.1640625" customWidth="1" style="49" min="1" max="1"/>
    <col width="15.6640625" bestFit="1" customWidth="1" style="2" min="2" max="2"/>
    <col width="20.83203125" bestFit="1" customWidth="1" style="49" min="3" max="3"/>
    <col width="48" customWidth="1" style="49" min="4" max="4"/>
    <col width="10.1640625" bestFit="1" customWidth="1" style="93" min="5" max="5"/>
    <col width="9.1640625" bestFit="1" customWidth="1" style="93" min="6" max="6"/>
    <col width="8" customWidth="1" style="93" min="7" max="7"/>
    <col width="10.6640625" customWidth="1" style="93" min="8" max="8"/>
    <col width="9.83203125" customWidth="1" style="49" min="9" max="9"/>
    <col width="10" customWidth="1" style="49" min="10" max="10"/>
    <col width="12.5" customWidth="1" style="94" min="11" max="11"/>
    <col width="9.6640625" customWidth="1" style="95" min="12" max="12"/>
    <col width="7" customWidth="1" style="96" min="13" max="13"/>
    <col width="10.33203125" customWidth="1" style="95" min="14" max="14"/>
    <col width="9.6640625" customWidth="1" style="95" min="15" max="15"/>
    <col width="12.1640625" customWidth="1" style="93" min="16" max="16"/>
    <col width="9.6640625" customWidth="1" style="93" min="17" max="23"/>
    <col width="9.6640625" customWidth="1" style="97" min="24" max="24"/>
    <col width="9.6640625" customWidth="1" style="98" min="25" max="25"/>
    <col width="7" customWidth="1" style="99" min="26" max="26"/>
    <col width="16" bestFit="1" customWidth="1" style="98" min="27" max="27"/>
    <col width="10.6640625" customWidth="1" style="49" min="28" max="16384"/>
  </cols>
  <sheetData>
    <row r="1" customFormat="1" s="1">
      <c r="B1" s="2" t="n"/>
      <c r="K1" s="3" t="n"/>
      <c r="P1" s="4" t="n"/>
      <c r="Q1" s="4" t="n"/>
      <c r="R1" s="4" t="n"/>
      <c r="S1" s="4" t="n"/>
      <c r="T1" s="4" t="n"/>
      <c r="U1" s="4" t="n"/>
      <c r="V1" s="4" t="n"/>
      <c r="W1" s="4" t="n"/>
      <c r="X1" s="5" t="n"/>
      <c r="Y1" s="6" t="n"/>
      <c r="Z1" s="7" t="n"/>
      <c r="AA1" s="6" t="n"/>
    </row>
    <row r="2" customFormat="1" s="1">
      <c r="A2" s="1" t="inlineStr">
        <is>
          <t> </t>
        </is>
      </c>
      <c r="B2" s="2" t="n"/>
      <c r="K2" s="3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6" t="n"/>
      <c r="Z2" s="7" t="n"/>
      <c r="AA2" s="6" t="n"/>
    </row>
    <row r="3" ht="31.5" customFormat="1" customHeight="1" s="1">
      <c r="A3" s="8" t="n"/>
      <c r="B3" s="9" t="n"/>
      <c r="C3" s="10" t="n"/>
      <c r="D3" s="4">
        <f>16+11</f>
        <v/>
      </c>
      <c r="E3" s="8" t="n"/>
      <c r="F3" s="8" t="n"/>
      <c r="G3" s="8" t="n"/>
      <c r="H3" s="8" t="n"/>
      <c r="I3" s="8" t="n"/>
      <c r="J3" s="8" t="n"/>
      <c r="K3" s="11" t="n"/>
      <c r="L3" s="100">
        <f>14010+1736</f>
        <v/>
      </c>
      <c r="M3" s="13">
        <f>+L3*5%</f>
        <v/>
      </c>
      <c r="N3" s="13" t="n">
        <v>0</v>
      </c>
      <c r="O3" s="13">
        <f>SUM(L3:N3)</f>
        <v/>
      </c>
      <c r="P3" s="14" t="n"/>
      <c r="Q3" s="15">
        <f>14010+775</f>
        <v/>
      </c>
      <c r="R3" s="14" t="n"/>
      <c r="S3" s="14" t="n"/>
      <c r="T3" s="14" t="n"/>
      <c r="U3" s="14" t="n"/>
      <c r="V3" s="14" t="n"/>
      <c r="W3" s="14" t="n"/>
      <c r="X3" s="16" t="n"/>
      <c r="Y3" s="17" t="n"/>
      <c r="Z3" s="7" t="n"/>
      <c r="AA3" s="17" t="n"/>
    </row>
    <row r="4" customFormat="1" s="1">
      <c r="A4" s="8" t="n"/>
      <c r="B4" s="9" t="n"/>
      <c r="C4" s="10" t="n"/>
      <c r="F4" s="8" t="n"/>
      <c r="G4" s="8" t="n"/>
      <c r="H4" s="8" t="n"/>
      <c r="I4" s="8" t="n"/>
      <c r="J4" s="8" t="n"/>
      <c r="K4" s="11" t="n"/>
      <c r="L4" s="18">
        <f>+L3/26</f>
        <v/>
      </c>
      <c r="M4" s="19">
        <f>+M3/26</f>
        <v/>
      </c>
      <c r="N4" s="13" t="n"/>
      <c r="O4" s="19">
        <f>+O3/26</f>
        <v/>
      </c>
      <c r="P4" s="14" t="n"/>
      <c r="Q4" s="18">
        <f>+Q3/26</f>
        <v/>
      </c>
      <c r="R4" s="14" t="n"/>
      <c r="S4" s="14" t="n"/>
      <c r="T4" s="14" t="n"/>
      <c r="U4" s="14" t="n"/>
      <c r="V4" s="14" t="n"/>
      <c r="W4" s="14" t="n"/>
      <c r="X4" s="16" t="n"/>
      <c r="Y4" s="17" t="n"/>
      <c r="Z4" s="7" t="n"/>
      <c r="AA4" s="17" t="n"/>
    </row>
    <row r="5" customFormat="1" s="1">
      <c r="A5" s="20" t="inlineStr">
        <is>
          <t>KFIL SOLAPUR Wages Register for the Month of MAY-26</t>
        </is>
      </c>
      <c r="B5" s="21" t="n"/>
      <c r="C5" s="20" t="n"/>
      <c r="D5" s="20" t="n"/>
      <c r="E5" s="20" t="inlineStr">
        <is>
          <t> </t>
        </is>
      </c>
      <c r="F5" s="20" t="n"/>
      <c r="G5" s="20" t="n"/>
      <c r="H5" s="20" t="n"/>
      <c r="I5" s="20" t="n"/>
      <c r="J5" s="20" t="n"/>
      <c r="K5" s="20" t="n"/>
      <c r="L5" s="100">
        <f>14010+1736</f>
        <v/>
      </c>
      <c r="M5" s="13">
        <f>+L5*5%</f>
        <v/>
      </c>
      <c r="N5" s="13" t="n">
        <v>0</v>
      </c>
      <c r="O5" s="13">
        <f>SUM(L5:N5)</f>
        <v/>
      </c>
      <c r="P5" s="101">
        <f>P6-O53</f>
        <v/>
      </c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7" t="n"/>
    </row>
    <row r="6" customFormat="1" s="1">
      <c r="A6" s="23" t="n"/>
      <c r="B6" s="24" t="n"/>
      <c r="C6" s="25" t="n"/>
      <c r="D6" s="102" t="n"/>
      <c r="E6" s="23" t="n"/>
      <c r="F6" s="23" t="n"/>
      <c r="G6" s="23" t="n"/>
      <c r="H6" s="23" t="n"/>
      <c r="I6" s="23" t="n"/>
      <c r="J6" s="23" t="n"/>
      <c r="K6" s="103">
        <f>L6*H53</f>
        <v/>
      </c>
      <c r="L6" s="18">
        <f>+L5/26</f>
        <v/>
      </c>
      <c r="M6" s="19">
        <f>+M5/26</f>
        <v/>
      </c>
      <c r="N6" s="13" t="n"/>
      <c r="O6" s="19">
        <f>+O5/26</f>
        <v/>
      </c>
      <c r="P6" s="103">
        <f>O6*H53</f>
        <v/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</row>
    <row r="7" customFormat="1" s="10">
      <c r="A7" s="28" t="inlineStr">
        <is>
          <t>Sr No</t>
        </is>
      </c>
      <c r="B7" s="29" t="inlineStr">
        <is>
          <t>UAN NO</t>
        </is>
      </c>
      <c r="C7" s="30" t="inlineStr">
        <is>
          <t xml:space="preserve">ESICNO </t>
        </is>
      </c>
      <c r="D7" s="28" t="inlineStr">
        <is>
          <t>FULL NAME OF EMPLOYEE</t>
        </is>
      </c>
      <c r="E7" s="28" t="inlineStr">
        <is>
          <t>Rate Per Day</t>
        </is>
      </c>
      <c r="F7" s="28" t="inlineStr">
        <is>
          <t>Total Days worked</t>
        </is>
      </c>
      <c r="G7" s="28" t="inlineStr">
        <is>
          <t>Total OT Days</t>
        </is>
      </c>
      <c r="H7" s="28" t="inlineStr">
        <is>
          <t xml:space="preserve">Days Total </t>
        </is>
      </c>
      <c r="I7" s="28" t="inlineStr">
        <is>
          <t>BASIC PAY</t>
        </is>
      </c>
      <c r="J7" s="28" t="inlineStr">
        <is>
          <t>OT PAY</t>
        </is>
      </c>
      <c r="K7" s="31" t="inlineStr">
        <is>
          <t>GROSS WAGES PAYABLE</t>
        </is>
      </c>
      <c r="L7" s="32" t="inlineStr">
        <is>
          <t>BASIC+DA</t>
        </is>
      </c>
      <c r="M7" s="33" t="inlineStr">
        <is>
          <t>HRA</t>
        </is>
      </c>
      <c r="N7" s="33" t="inlineStr">
        <is>
          <t>OTHER</t>
        </is>
      </c>
      <c r="O7" s="33" t="inlineStr">
        <is>
          <t xml:space="preserve">LEGAL GROSS WAGES PAYABLE </t>
        </is>
      </c>
      <c r="P7" s="28" t="inlineStr">
        <is>
          <t>Deduction Parts</t>
        </is>
      </c>
      <c r="Q7" s="104" t="n"/>
      <c r="R7" s="104" t="n"/>
      <c r="S7" s="104" t="n"/>
      <c r="T7" s="104" t="n"/>
      <c r="U7" s="104" t="n"/>
      <c r="V7" s="104" t="n"/>
      <c r="W7" s="104" t="n"/>
      <c r="X7" s="105" t="n"/>
      <c r="Y7" s="34" t="inlineStr">
        <is>
          <t>Net Wages</t>
        </is>
      </c>
      <c r="Z7" s="28" t="inlineStr">
        <is>
          <t xml:space="preserve">Other </t>
        </is>
      </c>
      <c r="AA7" s="34" t="inlineStr">
        <is>
          <t>FINAL PAY</t>
        </is>
      </c>
    </row>
    <row r="8" customFormat="1" s="10">
      <c r="A8" s="106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35" t="inlineStr">
        <is>
          <t>PF</t>
        </is>
      </c>
      <c r="Q8" s="35" t="inlineStr">
        <is>
          <t>PT</t>
        </is>
      </c>
      <c r="R8" s="35" t="inlineStr">
        <is>
          <t>ESIC</t>
        </is>
      </c>
      <c r="S8" s="35" t="inlineStr">
        <is>
          <t>Remening Adv(Dif)</t>
        </is>
      </c>
      <c r="T8" s="35" t="inlineStr">
        <is>
          <t>Advance jamadar</t>
        </is>
      </c>
      <c r="U8" s="35" t="inlineStr">
        <is>
          <t>CANTEEN</t>
        </is>
      </c>
      <c r="V8" s="35" t="inlineStr">
        <is>
          <t>cupan</t>
        </is>
      </c>
      <c r="W8" s="35" t="inlineStr">
        <is>
          <t>account adv</t>
        </is>
      </c>
      <c r="X8" s="35" t="inlineStr">
        <is>
          <t>Total deduction</t>
        </is>
      </c>
      <c r="Y8" s="106" t="n"/>
      <c r="Z8" s="106" t="n"/>
      <c r="AA8" s="106" t="n"/>
    </row>
    <row r="9" customFormat="1" s="10">
      <c r="A9" s="106" t="n"/>
      <c r="B9" s="106" t="n"/>
      <c r="C9" s="106" t="n"/>
      <c r="D9" s="106" t="n"/>
      <c r="E9" s="106" t="n"/>
      <c r="F9" s="106" t="n"/>
      <c r="G9" s="106" t="n"/>
      <c r="H9" s="106" t="n"/>
      <c r="I9" s="106" t="n"/>
      <c r="J9" s="106" t="n"/>
      <c r="K9" s="106" t="n"/>
      <c r="L9" s="106" t="n"/>
      <c r="M9" s="106" t="n"/>
      <c r="N9" s="106" t="n"/>
      <c r="O9" s="106" t="n"/>
      <c r="P9" s="106" t="n"/>
      <c r="Q9" s="106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  <c r="AA9" s="106" t="n"/>
    </row>
    <row r="10" customFormat="1" s="10">
      <c r="A10" s="106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</row>
    <row r="11" customFormat="1" s="10">
      <c r="A11" s="107" t="n"/>
      <c r="B11" s="107" t="n"/>
      <c r="C11" s="107" t="n"/>
      <c r="D11" s="107" t="n"/>
      <c r="E11" s="107" t="n"/>
      <c r="F11" s="107" t="n"/>
      <c r="G11" s="107" t="n"/>
      <c r="H11" s="107" t="n"/>
      <c r="I11" s="107" t="n"/>
      <c r="J11" s="107" t="n"/>
      <c r="K11" s="107" t="n"/>
      <c r="L11" s="107" t="n"/>
      <c r="M11" s="107" t="n"/>
      <c r="N11" s="107" t="n"/>
      <c r="O11" s="107" t="n"/>
      <c r="P11" s="107" t="n"/>
      <c r="Q11" s="107" t="n"/>
      <c r="R11" s="107" t="n"/>
      <c r="S11" s="107" t="n"/>
      <c r="T11" s="107" t="n"/>
      <c r="U11" s="107" t="n"/>
      <c r="V11" s="107" t="n"/>
      <c r="W11" s="107" t="n"/>
      <c r="X11" s="107" t="n"/>
      <c r="Y11" s="107" t="n"/>
      <c r="Z11" s="107" t="n"/>
      <c r="AA11" s="107" t="n"/>
    </row>
    <row r="12">
      <c r="A12" s="108" t="n">
        <v>1</v>
      </c>
      <c r="B12" s="109" t="n">
        <v>101747190938</v>
      </c>
      <c r="C12" s="110" t="n">
        <v>3313290894</v>
      </c>
      <c r="D12" s="111" t="inlineStr">
        <is>
          <t>AKASH J TINGALE</t>
        </is>
      </c>
      <c r="E12" s="112" t="n">
        <v>1027.39</v>
      </c>
      <c r="F12" s="113" t="n">
        <v>19</v>
      </c>
      <c r="G12" s="114" t="n"/>
      <c r="H12" s="115">
        <f>F12</f>
        <v/>
      </c>
      <c r="I12" s="116">
        <f>ROUND(F12*E12,0)</f>
        <v/>
      </c>
      <c r="J12" s="116" t="n">
        <v>0</v>
      </c>
      <c r="K12" s="116">
        <f>I12+J12</f>
        <v/>
      </c>
      <c r="L12" s="116">
        <f>ROUND($L$4*F12,0)</f>
        <v/>
      </c>
      <c r="M12" s="117">
        <f>ROUND($L12*5%,0)</f>
        <v/>
      </c>
      <c r="N12" s="116">
        <f>K12-L12-M12</f>
        <v/>
      </c>
      <c r="O12" s="116">
        <f>N12+M12+L12</f>
        <v/>
      </c>
      <c r="P12" s="117">
        <f>ROUND(L12*12%,0)</f>
        <v/>
      </c>
      <c r="Q12" s="117">
        <f>IF(O12&lt;=7500,0,IF(O12&lt;=10000,175,200))</f>
        <v/>
      </c>
      <c r="R12" s="117">
        <f>ROUND(O12*0.75%,0)</f>
        <v/>
      </c>
      <c r="S12" s="117" t="n"/>
      <c r="T12" s="111" t="n"/>
      <c r="U12" s="118" t="n"/>
      <c r="V12" s="118" t="n"/>
      <c r="W12" s="111" t="n"/>
      <c r="X12" s="117">
        <f>SUM(P12:W12)</f>
        <v/>
      </c>
      <c r="Y12" s="119">
        <f>O12-X12</f>
        <v/>
      </c>
      <c r="Z12" s="120" t="n">
        <v>500</v>
      </c>
      <c r="AA12" s="119">
        <f>Y12-Z12</f>
        <v/>
      </c>
    </row>
    <row r="13">
      <c r="A13" s="108" t="n">
        <v>2</v>
      </c>
      <c r="B13" s="109" t="n">
        <v>102043325356</v>
      </c>
      <c r="C13" s="110" t="n">
        <v>3316016132</v>
      </c>
      <c r="D13" s="111" t="inlineStr">
        <is>
          <t>AKIB SADIK SHAIKH</t>
        </is>
      </c>
      <c r="E13" s="112" t="n">
        <v>764.05</v>
      </c>
      <c r="F13" s="113" t="n">
        <v>21</v>
      </c>
      <c r="G13" s="114" t="n"/>
      <c r="H13" s="115">
        <f>F13</f>
        <v/>
      </c>
      <c r="I13" s="116">
        <f>ROUND(F13*E13,0)</f>
        <v/>
      </c>
      <c r="J13" s="116" t="n">
        <v>0</v>
      </c>
      <c r="K13" s="116">
        <f>I13+J13</f>
        <v/>
      </c>
      <c r="L13" s="116">
        <f>ROUND($L$4*F13,0)</f>
        <v/>
      </c>
      <c r="M13" s="117">
        <f>ROUND($L13*5%,0)</f>
        <v/>
      </c>
      <c r="N13" s="116">
        <f>K13-L13-M13</f>
        <v/>
      </c>
      <c r="O13" s="116">
        <f>N13+M13+L13</f>
        <v/>
      </c>
      <c r="P13" s="117">
        <f>ROUND(L13*12%,0)</f>
        <v/>
      </c>
      <c r="Q13" s="117">
        <f>IF(O13&lt;=7500,0,IF(O13&lt;=10000,175,200))</f>
        <v/>
      </c>
      <c r="R13" s="117">
        <f>ROUND(O13*0.75%,0)</f>
        <v/>
      </c>
      <c r="S13" s="117" t="n"/>
      <c r="T13" s="111" t="n"/>
      <c r="U13" s="118" t="n"/>
      <c r="V13" s="118" t="n"/>
      <c r="W13" s="111" t="n"/>
      <c r="X13" s="117">
        <f>SUM(P13:W13)</f>
        <v/>
      </c>
      <c r="Y13" s="119">
        <f>O13-X13</f>
        <v/>
      </c>
      <c r="Z13" s="120" t="n">
        <v>500</v>
      </c>
      <c r="AA13" s="119">
        <f>Y13-Z13</f>
        <v/>
      </c>
    </row>
    <row r="14">
      <c r="A14" s="108" t="n">
        <v>3</v>
      </c>
      <c r="B14" s="109" t="n">
        <v>101509952020</v>
      </c>
      <c r="C14" s="110" t="n">
        <v>3311275186</v>
      </c>
      <c r="D14" s="111" t="inlineStr">
        <is>
          <t>AMOL TEJU RATHOD</t>
        </is>
      </c>
      <c r="E14" s="112" t="n">
        <v>823.1</v>
      </c>
      <c r="F14" s="113" t="n">
        <v>26</v>
      </c>
      <c r="G14" s="114" t="n"/>
      <c r="H14" s="115">
        <f>F14</f>
        <v/>
      </c>
      <c r="I14" s="116">
        <f>ROUND(F14*E14,0)</f>
        <v/>
      </c>
      <c r="J14" s="116" t="n">
        <v>0</v>
      </c>
      <c r="K14" s="116">
        <f>I14+J14</f>
        <v/>
      </c>
      <c r="L14" s="116">
        <f>ROUND($L$4*F14,0)</f>
        <v/>
      </c>
      <c r="M14" s="117">
        <f>ROUND($L14*5%,0)</f>
        <v/>
      </c>
      <c r="N14" s="116">
        <f>K14-L14-M14</f>
        <v/>
      </c>
      <c r="O14" s="116">
        <f>N14+M14+L14</f>
        <v/>
      </c>
      <c r="P14" s="117">
        <f>ROUND(L14*12%,0)</f>
        <v/>
      </c>
      <c r="Q14" s="117">
        <f>IF(O14&lt;=7500,0,IF(O14&lt;=10000,175,200))</f>
        <v/>
      </c>
      <c r="R14" s="117">
        <f>ROUND(O14*0.75%,0)</f>
        <v/>
      </c>
      <c r="S14" s="117" t="n"/>
      <c r="T14" s="111" t="n"/>
      <c r="U14" s="118" t="n"/>
      <c r="V14" s="118" t="n"/>
      <c r="W14" s="111" t="n"/>
      <c r="X14" s="117">
        <f>SUM(P14:W14)</f>
        <v/>
      </c>
      <c r="Y14" s="119">
        <f>O14-X14</f>
        <v/>
      </c>
      <c r="Z14" s="120" t="n">
        <v>500</v>
      </c>
      <c r="AA14" s="119">
        <f>Y14-Z14</f>
        <v/>
      </c>
    </row>
    <row r="15">
      <c r="A15" s="108" t="n">
        <v>4</v>
      </c>
      <c r="B15" s="109" t="n">
        <v>101475240602</v>
      </c>
      <c r="C15" s="110" t="n">
        <v>3310877479</v>
      </c>
      <c r="D15" s="111" t="inlineStr">
        <is>
          <t>ANIL G MALI</t>
        </is>
      </c>
      <c r="E15" s="112" t="n">
        <v>997.74</v>
      </c>
      <c r="F15" s="113" t="n">
        <v>18</v>
      </c>
      <c r="G15" s="114" t="n"/>
      <c r="H15" s="115">
        <f>F15</f>
        <v/>
      </c>
      <c r="I15" s="116">
        <f>ROUND(F15*E15,0)</f>
        <v/>
      </c>
      <c r="J15" s="116" t="n">
        <v>0</v>
      </c>
      <c r="K15" s="116">
        <f>I15+J15</f>
        <v/>
      </c>
      <c r="L15" s="116">
        <f>ROUND($L$4*F15,0)</f>
        <v/>
      </c>
      <c r="M15" s="117">
        <f>ROUND($L15*5%,0)</f>
        <v/>
      </c>
      <c r="N15" s="116">
        <f>K15-L15-M15</f>
        <v/>
      </c>
      <c r="O15" s="116">
        <f>N15+M15+L15</f>
        <v/>
      </c>
      <c r="P15" s="117">
        <f>ROUND(L15*12%,0)</f>
        <v/>
      </c>
      <c r="Q15" s="117">
        <f>IF(O15&lt;=7500,0,IF(O15&lt;=10000,175,200))</f>
        <v/>
      </c>
      <c r="R15" s="117">
        <f>ROUND(O15*0.75%,0)</f>
        <v/>
      </c>
      <c r="S15" s="117" t="n"/>
      <c r="T15" s="111" t="n"/>
      <c r="U15" s="118" t="n"/>
      <c r="V15" s="118" t="n"/>
      <c r="W15" s="111" t="n"/>
      <c r="X15" s="117">
        <f>SUM(P15:W15)</f>
        <v/>
      </c>
      <c r="Y15" s="119">
        <f>O15-X15</f>
        <v/>
      </c>
      <c r="Z15" s="120" t="n">
        <v>500</v>
      </c>
      <c r="AA15" s="119">
        <f>Y15-Z15</f>
        <v/>
      </c>
    </row>
    <row r="16">
      <c r="A16" s="108" t="n">
        <v>5</v>
      </c>
      <c r="B16" s="109" t="n">
        <v>101835374035</v>
      </c>
      <c r="C16" s="110" t="n">
        <v>3315576432</v>
      </c>
      <c r="D16" s="111" t="inlineStr">
        <is>
          <t>ANKUSH BHALE</t>
        </is>
      </c>
      <c r="E16" s="112" t="n">
        <v>1351.02</v>
      </c>
      <c r="F16" s="113" t="n">
        <v>18</v>
      </c>
      <c r="G16" s="114" t="n">
        <v>7</v>
      </c>
      <c r="H16" s="115">
        <f>F16+G16</f>
        <v/>
      </c>
      <c r="I16" s="116">
        <f>ROUND(F16*E16,0)</f>
        <v/>
      </c>
      <c r="J16" s="116">
        <f>ROUND(E16*G16,0)</f>
        <v/>
      </c>
      <c r="K16" s="116">
        <f>I16+J16</f>
        <v/>
      </c>
      <c r="L16" s="116">
        <f>ROUND($L$4*F16,0)</f>
        <v/>
      </c>
      <c r="M16" s="117">
        <f>ROUND($L16*5%,0)</f>
        <v/>
      </c>
      <c r="N16" s="116">
        <f>K16-L16-M16</f>
        <v/>
      </c>
      <c r="O16" s="116">
        <f>N16+M16+L16</f>
        <v/>
      </c>
      <c r="P16" s="117">
        <f>ROUND(L16*12%,0)</f>
        <v/>
      </c>
      <c r="Q16" s="117">
        <f>IF(O16&lt;=7500,0,IF(O16&lt;=10000,175,200))</f>
        <v/>
      </c>
      <c r="R16" s="117">
        <f>ROUND(O16*0.75%,0)</f>
        <v/>
      </c>
      <c r="S16" s="117" t="n"/>
      <c r="T16" s="111" t="n"/>
      <c r="U16" s="118" t="n"/>
      <c r="V16" s="118" t="n"/>
      <c r="W16" s="111" t="n"/>
      <c r="X16" s="117">
        <f>SUM(P16:W16)</f>
        <v/>
      </c>
      <c r="Y16" s="119">
        <f>O16-X16</f>
        <v/>
      </c>
      <c r="Z16" s="120" t="n">
        <v>500</v>
      </c>
      <c r="AA16" s="119">
        <f>Y16-Z16</f>
        <v/>
      </c>
    </row>
    <row r="17">
      <c r="A17" s="108" t="n">
        <v>6</v>
      </c>
      <c r="B17" s="109" t="n">
        <v>102025154331</v>
      </c>
      <c r="C17" s="110" t="n">
        <v>3315898061</v>
      </c>
      <c r="D17" s="111" t="inlineStr">
        <is>
          <t>ARBAJ AMIN JAMADAR</t>
        </is>
      </c>
      <c r="E17" s="112" t="n">
        <v>792.67</v>
      </c>
      <c r="F17" s="113" t="n">
        <v>26</v>
      </c>
      <c r="G17" s="114" t="n">
        <v>5</v>
      </c>
      <c r="H17" s="115">
        <f>F17+G17</f>
        <v/>
      </c>
      <c r="I17" s="116">
        <f>ROUND(F17*E17,0)</f>
        <v/>
      </c>
      <c r="J17" s="116">
        <f>ROUND(E17*G17,0)</f>
        <v/>
      </c>
      <c r="K17" s="116">
        <f>I17+J17</f>
        <v/>
      </c>
      <c r="L17" s="116">
        <f>ROUND($L$4*F17,0)</f>
        <v/>
      </c>
      <c r="M17" s="117">
        <f>ROUND($L17*5%,0)</f>
        <v/>
      </c>
      <c r="N17" s="116">
        <f>K17-L17-M17</f>
        <v/>
      </c>
      <c r="O17" s="116">
        <f>N17+M17+L17</f>
        <v/>
      </c>
      <c r="P17" s="117">
        <f>ROUND(L17*12%,0)</f>
        <v/>
      </c>
      <c r="Q17" s="117">
        <f>IF(O17&lt;=7500,0,IF(O17&lt;=10000,175,200))</f>
        <v/>
      </c>
      <c r="R17" s="117">
        <f>ROUND(O17*0.75%,0)</f>
        <v/>
      </c>
      <c r="S17" s="117" t="n"/>
      <c r="T17" s="111" t="n"/>
      <c r="U17" s="118" t="n"/>
      <c r="V17" s="118" t="n"/>
      <c r="W17" s="111" t="n"/>
      <c r="X17" s="117">
        <f>SUM(P17:W17)</f>
        <v/>
      </c>
      <c r="Y17" s="119">
        <f>O17-X17</f>
        <v/>
      </c>
      <c r="Z17" s="120" t="n">
        <v>500</v>
      </c>
      <c r="AA17" s="119">
        <f>Y17-Z17</f>
        <v/>
      </c>
    </row>
    <row r="18">
      <c r="A18" s="108" t="n">
        <v>7</v>
      </c>
      <c r="B18" s="109" t="n">
        <v>101281737627</v>
      </c>
      <c r="C18" s="110" t="n">
        <v>3315008810</v>
      </c>
      <c r="D18" s="111" t="inlineStr">
        <is>
          <t>AVINASH   PATANGE</t>
        </is>
      </c>
      <c r="E18" s="112" t="n">
        <v>1035</v>
      </c>
      <c r="F18" s="113" t="n">
        <v>22</v>
      </c>
      <c r="G18" s="114" t="n">
        <v>2</v>
      </c>
      <c r="H18" s="115">
        <f>F18+G18</f>
        <v/>
      </c>
      <c r="I18" s="116">
        <f>ROUND(F18*E18,0)</f>
        <v/>
      </c>
      <c r="J18" s="116">
        <f>ROUND(E18*G18,0)</f>
        <v/>
      </c>
      <c r="K18" s="116">
        <f>I18+J18</f>
        <v/>
      </c>
      <c r="L18" s="116">
        <f>ROUND($L$4*F18,0)</f>
        <v/>
      </c>
      <c r="M18" s="117">
        <f>ROUND($L18*5%,0)</f>
        <v/>
      </c>
      <c r="N18" s="116">
        <f>K18-L18-M18</f>
        <v/>
      </c>
      <c r="O18" s="116">
        <f>N18+M18+L18</f>
        <v/>
      </c>
      <c r="P18" s="117">
        <f>ROUND(L18*12%,0)</f>
        <v/>
      </c>
      <c r="Q18" s="117">
        <f>IF(O18&lt;=7500,0,IF(O18&lt;=10000,175,200))</f>
        <v/>
      </c>
      <c r="R18" s="117">
        <f>ROUND(O18*0.75%,0)</f>
        <v/>
      </c>
      <c r="S18" s="117" t="n"/>
      <c r="T18" s="111" t="n"/>
      <c r="U18" s="118" t="n"/>
      <c r="V18" s="118" t="n"/>
      <c r="W18" s="111" t="n"/>
      <c r="X18" s="117">
        <f>SUM(P18:W18)</f>
        <v/>
      </c>
      <c r="Y18" s="119">
        <f>O18-X18</f>
        <v/>
      </c>
      <c r="Z18" s="120" t="n">
        <v>500</v>
      </c>
      <c r="AA18" s="119">
        <f>Y18-Z18</f>
        <v/>
      </c>
    </row>
    <row r="19">
      <c r="A19" s="108" t="n">
        <v>8</v>
      </c>
      <c r="B19" s="109" t="n">
        <v>102143026061</v>
      </c>
      <c r="C19" s="110" t="n">
        <v>3317026055</v>
      </c>
      <c r="D19" s="111" t="inlineStr">
        <is>
          <t>BADIGER RAJKUMAR</t>
        </is>
      </c>
      <c r="E19" s="112" t="n">
        <v>977.84</v>
      </c>
      <c r="F19" s="113" t="n">
        <v>20</v>
      </c>
      <c r="G19" s="114" t="n">
        <v>4</v>
      </c>
      <c r="H19" s="115">
        <f>F19+G19</f>
        <v/>
      </c>
      <c r="I19" s="116">
        <f>ROUND(F19*E19,0)</f>
        <v/>
      </c>
      <c r="J19" s="116">
        <f>ROUND(E19*G19,0)</f>
        <v/>
      </c>
      <c r="K19" s="116">
        <f>I19+J19</f>
        <v/>
      </c>
      <c r="L19" s="116">
        <f>ROUND($L$4*F19,0)</f>
        <v/>
      </c>
      <c r="M19" s="117">
        <f>ROUND($L19*5%,0)</f>
        <v/>
      </c>
      <c r="N19" s="116">
        <f>K19-L19-M19</f>
        <v/>
      </c>
      <c r="O19" s="116">
        <f>N19+M19+L19</f>
        <v/>
      </c>
      <c r="P19" s="117">
        <f>ROUND(L19*12%,0)</f>
        <v/>
      </c>
      <c r="Q19" s="117">
        <f>IF(O19&lt;=7500,0,IF(O19&lt;=10000,175,200))</f>
        <v/>
      </c>
      <c r="R19" s="117">
        <f>ROUND(O19*0.75%,0)</f>
        <v/>
      </c>
      <c r="S19" s="117" t="n"/>
      <c r="T19" s="111" t="n"/>
      <c r="U19" s="118" t="n"/>
      <c r="V19" s="118" t="n"/>
      <c r="W19" s="111" t="n"/>
      <c r="X19" s="117">
        <f>SUM(P19:W19)</f>
        <v/>
      </c>
      <c r="Y19" s="119">
        <f>O19-X19</f>
        <v/>
      </c>
      <c r="Z19" s="120" t="n">
        <v>500</v>
      </c>
      <c r="AA19" s="119">
        <f>Y19-Z19</f>
        <v/>
      </c>
    </row>
    <row r="20">
      <c r="A20" s="108" t="n">
        <v>9</v>
      </c>
      <c r="B20" s="121" t="n">
        <v>101623086404</v>
      </c>
      <c r="C20" s="110" t="n">
        <v>3316938981</v>
      </c>
      <c r="D20" s="111" t="inlineStr">
        <is>
          <t>BANDENAWAJ SAIPAN MULLA</t>
        </is>
      </c>
      <c r="E20" s="112" t="n">
        <v>764.05</v>
      </c>
      <c r="F20" s="113" t="n">
        <v>21</v>
      </c>
      <c r="G20" s="114" t="n">
        <v>4</v>
      </c>
      <c r="H20" s="115">
        <f>F20+G20</f>
        <v/>
      </c>
      <c r="I20" s="116">
        <f>ROUND(F20*E20,0)</f>
        <v/>
      </c>
      <c r="J20" s="116">
        <f>ROUND(E20*G20,0)</f>
        <v/>
      </c>
      <c r="K20" s="116">
        <f>I20+J20</f>
        <v/>
      </c>
      <c r="L20" s="116">
        <f>ROUND($L$4*F20,0)</f>
        <v/>
      </c>
      <c r="M20" s="117">
        <f>ROUND($L20*5%,0)</f>
        <v/>
      </c>
      <c r="N20" s="116">
        <f>K20-L20-M20</f>
        <v/>
      </c>
      <c r="O20" s="116">
        <f>N20+M20+L20</f>
        <v/>
      </c>
      <c r="P20" s="117">
        <f>ROUND(L20*12%,0)</f>
        <v/>
      </c>
      <c r="Q20" s="117">
        <f>IF(O20&lt;=7500,0,IF(O20&lt;=10000,175,200))</f>
        <v/>
      </c>
      <c r="R20" s="117">
        <f>ROUND(O20*0.75%,0)</f>
        <v/>
      </c>
      <c r="S20" s="117" t="n"/>
      <c r="T20" s="111" t="n"/>
      <c r="U20" s="118" t="n"/>
      <c r="V20" s="118" t="n"/>
      <c r="W20" s="111" t="n"/>
      <c r="X20" s="117">
        <f>SUM(P20:W20)</f>
        <v/>
      </c>
      <c r="Y20" s="119">
        <f>O20-X20</f>
        <v/>
      </c>
      <c r="Z20" s="120" t="n">
        <v>500</v>
      </c>
      <c r="AA20" s="119">
        <f>Y20-Z20</f>
        <v/>
      </c>
    </row>
    <row r="21">
      <c r="A21" s="108" t="n">
        <v>10</v>
      </c>
      <c r="B21" s="109" t="n">
        <v>102028098436</v>
      </c>
      <c r="C21" s="110" t="n">
        <v>3315926963</v>
      </c>
      <c r="D21" s="111" t="inlineStr">
        <is>
          <t>BSAVRAJ IRANNA TALWAR</t>
        </is>
      </c>
      <c r="E21" s="112" t="n">
        <v>982.89</v>
      </c>
      <c r="F21" s="113" t="n">
        <v>19</v>
      </c>
      <c r="G21" s="114" t="n"/>
      <c r="H21" s="115">
        <f>F21</f>
        <v/>
      </c>
      <c r="I21" s="116">
        <f>ROUND(F21*E21,0)</f>
        <v/>
      </c>
      <c r="J21" s="116" t="n">
        <v>0</v>
      </c>
      <c r="K21" s="116">
        <f>I21+J21</f>
        <v/>
      </c>
      <c r="L21" s="116">
        <f>ROUND($L$4*F21,0)</f>
        <v/>
      </c>
      <c r="M21" s="117">
        <f>ROUND($L21*5%,0)</f>
        <v/>
      </c>
      <c r="N21" s="116">
        <f>K21-L21-M21</f>
        <v/>
      </c>
      <c r="O21" s="116">
        <f>N21+M21+L21</f>
        <v/>
      </c>
      <c r="P21" s="117">
        <f>ROUND(L21*12%,0)</f>
        <v/>
      </c>
      <c r="Q21" s="117">
        <f>IF(O21&lt;=7500,0,IF(O21&lt;=10000,175,200))</f>
        <v/>
      </c>
      <c r="R21" s="117">
        <f>ROUND(O21*0.75%,0)</f>
        <v/>
      </c>
      <c r="S21" s="117" t="n"/>
      <c r="T21" s="111" t="n"/>
      <c r="U21" s="118" t="n"/>
      <c r="V21" s="118" t="n"/>
      <c r="W21" s="111" t="n"/>
      <c r="X21" s="117">
        <f>SUM(P21:W21)</f>
        <v/>
      </c>
      <c r="Y21" s="119">
        <f>O21-X21</f>
        <v/>
      </c>
      <c r="Z21" s="120" t="n">
        <v>500</v>
      </c>
      <c r="AA21" s="119">
        <f>Y21-Z21</f>
        <v/>
      </c>
    </row>
    <row r="22">
      <c r="A22" s="108" t="n">
        <v>11</v>
      </c>
      <c r="B22" s="109" t="n">
        <v>102062761038</v>
      </c>
      <c r="C22" s="110" t="n">
        <v>3316249185</v>
      </c>
      <c r="D22" s="111" t="inlineStr">
        <is>
          <t>BASAVRAJ SHIVANNA KOLI</t>
        </is>
      </c>
      <c r="E22" s="112" t="n">
        <v>675.13</v>
      </c>
      <c r="F22" s="113" t="n">
        <v>23</v>
      </c>
      <c r="G22" s="114" t="n">
        <v>8</v>
      </c>
      <c r="H22" s="115">
        <f>F22+G22</f>
        <v/>
      </c>
      <c r="I22" s="116">
        <f>ROUND(F22*E22,0)</f>
        <v/>
      </c>
      <c r="J22" s="116">
        <f>ROUND(E22*G22,0)</f>
        <v/>
      </c>
      <c r="K22" s="116">
        <f>I22+J22</f>
        <v/>
      </c>
      <c r="L22" s="116">
        <f>ROUND($L$4*F22,0)</f>
        <v/>
      </c>
      <c r="M22" s="117">
        <f>ROUND($L22*5%,0)</f>
        <v/>
      </c>
      <c r="N22" s="116">
        <f>K22-L22-M22</f>
        <v/>
      </c>
      <c r="O22" s="116">
        <f>N22+M22+L22</f>
        <v/>
      </c>
      <c r="P22" s="117">
        <f>ROUND(L22*12%,0)</f>
        <v/>
      </c>
      <c r="Q22" s="117">
        <f>IF(O22&lt;=7500,0,IF(O22&lt;=10000,175,200))</f>
        <v/>
      </c>
      <c r="R22" s="117">
        <f>ROUND(O22*0.75%,0)</f>
        <v/>
      </c>
      <c r="S22" s="117" t="n"/>
      <c r="T22" s="111" t="n"/>
      <c r="U22" s="118" t="n"/>
      <c r="V22" s="118" t="n"/>
      <c r="W22" s="111" t="n"/>
      <c r="X22" s="117">
        <f>SUM(P22:W22)</f>
        <v/>
      </c>
      <c r="Y22" s="119">
        <f>O22-X22</f>
        <v/>
      </c>
      <c r="Z22" s="120" t="n">
        <v>500</v>
      </c>
      <c r="AA22" s="119">
        <f>Y22-Z22</f>
        <v/>
      </c>
    </row>
    <row r="23">
      <c r="A23" s="108" t="n">
        <v>12</v>
      </c>
      <c r="B23" s="109" t="n">
        <v>101966176359</v>
      </c>
      <c r="C23" s="110" t="n">
        <v>3315359696</v>
      </c>
      <c r="D23" s="111" t="inlineStr">
        <is>
          <t>BASAVARAJ SHRISHAIL SODDE</t>
        </is>
      </c>
      <c r="E23" s="112" t="n">
        <v>638.64</v>
      </c>
      <c r="F23" s="113" t="n">
        <v>25</v>
      </c>
      <c r="G23" s="114" t="n">
        <v>5</v>
      </c>
      <c r="H23" s="115">
        <f>F23+G23</f>
        <v/>
      </c>
      <c r="I23" s="116">
        <f>ROUND(F23*E23,0)</f>
        <v/>
      </c>
      <c r="J23" s="116">
        <f>ROUND(E23*G23,0)</f>
        <v/>
      </c>
      <c r="K23" s="116">
        <f>I23+J23</f>
        <v/>
      </c>
      <c r="L23" s="116">
        <f>ROUND($L$4*F23,0)</f>
        <v/>
      </c>
      <c r="M23" s="117">
        <f>ROUND($L23*5%,0)</f>
        <v/>
      </c>
      <c r="N23" s="116">
        <f>K23-L23-M23</f>
        <v/>
      </c>
      <c r="O23" s="116">
        <f>N23+M23+L23</f>
        <v/>
      </c>
      <c r="P23" s="117">
        <f>ROUND(L23*12%,0)</f>
        <v/>
      </c>
      <c r="Q23" s="117">
        <f>IF(O23&lt;=7500,0,IF(O23&lt;=10000,175,200))</f>
        <v/>
      </c>
      <c r="R23" s="117">
        <f>ROUND(O23*0.75%,0)</f>
        <v/>
      </c>
      <c r="S23" s="117" t="n"/>
      <c r="T23" s="111" t="n"/>
      <c r="U23" s="118" t="n"/>
      <c r="V23" s="118" t="n"/>
      <c r="W23" s="111" t="n"/>
      <c r="X23" s="117">
        <f>SUM(P23:W23)</f>
        <v/>
      </c>
      <c r="Y23" s="119">
        <f>O23-X23</f>
        <v/>
      </c>
      <c r="Z23" s="120" t="n">
        <v>500</v>
      </c>
      <c r="AA23" s="119">
        <f>Y23-Z23</f>
        <v/>
      </c>
    </row>
    <row r="24">
      <c r="A24" s="108" t="n">
        <v>13</v>
      </c>
      <c r="B24" s="109" t="n">
        <v>101972731570</v>
      </c>
      <c r="C24" s="110" t="n">
        <v>3315397620</v>
      </c>
      <c r="D24" s="111" t="inlineStr">
        <is>
          <t>BHARAT SARADE</t>
        </is>
      </c>
      <c r="E24" s="112" t="n">
        <v>873.92</v>
      </c>
      <c r="F24" s="113" t="n">
        <v>26</v>
      </c>
      <c r="G24" s="114" t="n"/>
      <c r="H24" s="115">
        <f>F24</f>
        <v/>
      </c>
      <c r="I24" s="116">
        <f>ROUND(F24*E24,0)</f>
        <v/>
      </c>
      <c r="J24" s="116" t="n">
        <v>0</v>
      </c>
      <c r="K24" s="116">
        <f>I24+J24</f>
        <v/>
      </c>
      <c r="L24" s="116">
        <f>ROUND($L$4*F24,0)</f>
        <v/>
      </c>
      <c r="M24" s="117">
        <f>ROUND($L24*5%,0)</f>
        <v/>
      </c>
      <c r="N24" s="116">
        <f>K24-L24-M24</f>
        <v/>
      </c>
      <c r="O24" s="116">
        <f>N24+M24+L24</f>
        <v/>
      </c>
      <c r="P24" s="117">
        <f>ROUND(L24*12%,0)</f>
        <v/>
      </c>
      <c r="Q24" s="117">
        <f>IF(O24&lt;=7500,0,IF(O24&lt;=10000,175,200))</f>
        <v/>
      </c>
      <c r="R24" s="117">
        <f>ROUND(O24*0.75%,0)</f>
        <v/>
      </c>
      <c r="S24" s="117" t="n"/>
      <c r="T24" s="111" t="n"/>
      <c r="U24" s="118" t="n"/>
      <c r="V24" s="118" t="n"/>
      <c r="W24" s="111" t="n"/>
      <c r="X24" s="117">
        <f>SUM(P24:W24)</f>
        <v/>
      </c>
      <c r="Y24" s="119">
        <f>O24-X24</f>
        <v/>
      </c>
      <c r="Z24" s="120" t="n">
        <v>500</v>
      </c>
      <c r="AA24" s="119">
        <f>Y24-Z24</f>
        <v/>
      </c>
    </row>
    <row r="25">
      <c r="A25" s="108" t="n">
        <v>14</v>
      </c>
      <c r="B25" s="109" t="n">
        <v>102004077854</v>
      </c>
      <c r="C25" s="110" t="n">
        <v>3315667432</v>
      </c>
      <c r="D25" s="111" t="inlineStr">
        <is>
          <t>BHIMASHANKAR ISHWARKATTI</t>
        </is>
      </c>
      <c r="E25" s="112" t="n">
        <v>702.83</v>
      </c>
      <c r="F25" s="113" t="n">
        <v>23</v>
      </c>
      <c r="G25" s="114" t="n">
        <v>7</v>
      </c>
      <c r="H25" s="115">
        <f>F25+G25</f>
        <v/>
      </c>
      <c r="I25" s="116">
        <f>ROUND(F25*E25,0)</f>
        <v/>
      </c>
      <c r="J25" s="116">
        <f>ROUND(E25*G25,0)</f>
        <v/>
      </c>
      <c r="K25" s="116">
        <f>I25+J25</f>
        <v/>
      </c>
      <c r="L25" s="116">
        <f>ROUND($L$4*F25,0)</f>
        <v/>
      </c>
      <c r="M25" s="117">
        <f>ROUND($L25*5%,0)</f>
        <v/>
      </c>
      <c r="N25" s="116">
        <f>K25-L25-M25</f>
        <v/>
      </c>
      <c r="O25" s="116">
        <f>N25+M25+L25</f>
        <v/>
      </c>
      <c r="P25" s="117">
        <f>ROUND(L25*12%,0)</f>
        <v/>
      </c>
      <c r="Q25" s="117">
        <f>IF(O25&lt;=7500,0,IF(O25&lt;=10000,175,200))</f>
        <v/>
      </c>
      <c r="R25" s="117">
        <f>ROUND(O25*0.75%,0)</f>
        <v/>
      </c>
      <c r="S25" s="117" t="n"/>
      <c r="T25" s="111" t="n"/>
      <c r="U25" s="118" t="n"/>
      <c r="V25" s="118" t="n"/>
      <c r="W25" s="111" t="n"/>
      <c r="X25" s="117">
        <f>SUM(P25:W25)</f>
        <v/>
      </c>
      <c r="Y25" s="119">
        <f>O25-X25</f>
        <v/>
      </c>
      <c r="Z25" s="120" t="n">
        <v>500</v>
      </c>
      <c r="AA25" s="119">
        <f>Y25-Z25</f>
        <v/>
      </c>
    </row>
    <row r="26">
      <c r="A26" s="108" t="n">
        <v>15</v>
      </c>
      <c r="B26" s="121" t="n">
        <v>101410043453</v>
      </c>
      <c r="C26" s="110" t="n">
        <v>3314106884</v>
      </c>
      <c r="D26" s="111" t="inlineStr">
        <is>
          <t>CHITAMANI S KADERKAR</t>
        </is>
      </c>
      <c r="E26" s="112" t="n">
        <v>1181.36</v>
      </c>
      <c r="F26" s="113" t="n">
        <v>21</v>
      </c>
      <c r="G26" s="114" t="n">
        <v>2</v>
      </c>
      <c r="H26" s="115">
        <f>F26+G26</f>
        <v/>
      </c>
      <c r="I26" s="116">
        <f>ROUND(F26*E26,0)</f>
        <v/>
      </c>
      <c r="J26" s="116">
        <f>ROUND(E26*G26,0)</f>
        <v/>
      </c>
      <c r="K26" s="116">
        <f>I26+J26</f>
        <v/>
      </c>
      <c r="L26" s="116">
        <f>ROUND($L$4*F26,0)</f>
        <v/>
      </c>
      <c r="M26" s="117">
        <f>ROUND($L26*5%,0)</f>
        <v/>
      </c>
      <c r="N26" s="116">
        <f>K26-L26-M26</f>
        <v/>
      </c>
      <c r="O26" s="116">
        <f>N26+M26+L26</f>
        <v/>
      </c>
      <c r="P26" s="117">
        <f>ROUND(L26*12%,0)</f>
        <v/>
      </c>
      <c r="Q26" s="117">
        <f>IF(O26&lt;=7500,0,IF(O26&lt;=10000,175,200))</f>
        <v/>
      </c>
      <c r="R26" s="117">
        <f>ROUND(O26*0.75%,0)</f>
        <v/>
      </c>
      <c r="S26" s="117" t="n"/>
      <c r="T26" s="111" t="n"/>
      <c r="U26" s="118" t="n"/>
      <c r="V26" s="118" t="n"/>
      <c r="W26" s="111" t="n"/>
      <c r="X26" s="117">
        <f>SUM(P26:W26)</f>
        <v/>
      </c>
      <c r="Y26" s="119">
        <f>O26-X26</f>
        <v/>
      </c>
      <c r="Z26" s="120" t="n">
        <v>500</v>
      </c>
      <c r="AA26" s="119">
        <f>Y26-Z26</f>
        <v/>
      </c>
    </row>
    <row r="27">
      <c r="A27" s="108" t="n">
        <v>16</v>
      </c>
      <c r="B27" s="109" t="n">
        <v>101388345766</v>
      </c>
      <c r="C27" s="110" t="n">
        <v>3310279715</v>
      </c>
      <c r="D27" s="111" t="inlineStr">
        <is>
          <t>RUSHIKESH CHANDRAKANT CHOUGULE</t>
        </is>
      </c>
      <c r="E27" s="112" t="n">
        <v>1013.01</v>
      </c>
      <c r="F27" s="113" t="n">
        <v>19</v>
      </c>
      <c r="G27" s="114" t="n"/>
      <c r="H27" s="115">
        <f>F27</f>
        <v/>
      </c>
      <c r="I27" s="116">
        <f>ROUND(F27*E27,0)</f>
        <v/>
      </c>
      <c r="J27" s="116" t="n">
        <v>0</v>
      </c>
      <c r="K27" s="116">
        <f>I27+J27</f>
        <v/>
      </c>
      <c r="L27" s="116">
        <f>ROUND($L$4*F27,0)</f>
        <v/>
      </c>
      <c r="M27" s="117">
        <f>ROUND($L27*5%,0)</f>
        <v/>
      </c>
      <c r="N27" s="116">
        <f>K27-L27-M27</f>
        <v/>
      </c>
      <c r="O27" s="116">
        <f>N27+M27+L27</f>
        <v/>
      </c>
      <c r="P27" s="117">
        <f>ROUND(L27*12%,0)</f>
        <v/>
      </c>
      <c r="Q27" s="117">
        <f>IF(O27&lt;=7500,0,IF(O27&lt;=10000,175,200))</f>
        <v/>
      </c>
      <c r="R27" s="117">
        <f>ROUND(O27*0.75%,0)</f>
        <v/>
      </c>
      <c r="S27" s="117" t="n"/>
      <c r="T27" s="111" t="n"/>
      <c r="U27" s="118" t="n"/>
      <c r="V27" s="118" t="n"/>
      <c r="W27" s="111" t="n"/>
      <c r="X27" s="117">
        <f>SUM(P27:W27)</f>
        <v/>
      </c>
      <c r="Y27" s="119">
        <f>O27-X27</f>
        <v/>
      </c>
      <c r="Z27" s="120" t="n">
        <v>500</v>
      </c>
      <c r="AA27" s="119">
        <f>Y27-Z27</f>
        <v/>
      </c>
    </row>
    <row r="28">
      <c r="A28" s="108" t="n">
        <v>17</v>
      </c>
      <c r="B28" s="109" t="n">
        <v>100590315745</v>
      </c>
      <c r="C28" s="110" t="n">
        <v>3315291117</v>
      </c>
      <c r="D28" s="111" t="inlineStr">
        <is>
          <t>DRAGAPPA ARWAT</t>
        </is>
      </c>
      <c r="E28" s="112" t="n">
        <v>810.22</v>
      </c>
      <c r="F28" s="113" t="n">
        <v>23</v>
      </c>
      <c r="G28" s="114" t="n"/>
      <c r="H28" s="115">
        <f>F28</f>
        <v/>
      </c>
      <c r="I28" s="116">
        <f>ROUND(F28*E28,0)</f>
        <v/>
      </c>
      <c r="J28" s="116" t="n">
        <v>0</v>
      </c>
      <c r="K28" s="116">
        <f>I28+J28</f>
        <v/>
      </c>
      <c r="L28" s="116">
        <f>ROUND($L$4*F28,0)</f>
        <v/>
      </c>
      <c r="M28" s="117">
        <f>ROUND($L28*5%,0)</f>
        <v/>
      </c>
      <c r="N28" s="116">
        <f>K28-L28-M28</f>
        <v/>
      </c>
      <c r="O28" s="116">
        <f>N28+M28+L28</f>
        <v/>
      </c>
      <c r="P28" s="117">
        <f>ROUND(L28*12%,0)</f>
        <v/>
      </c>
      <c r="Q28" s="117">
        <f>IF(O28&lt;=7500,0,IF(O28&lt;=10000,175,200))</f>
        <v/>
      </c>
      <c r="R28" s="117">
        <f>ROUND(O28*0.75%,0)</f>
        <v/>
      </c>
      <c r="S28" s="117" t="n"/>
      <c r="T28" s="111" t="n"/>
      <c r="U28" s="118" t="n"/>
      <c r="V28" s="118" t="n"/>
      <c r="W28" s="111" t="n"/>
      <c r="X28" s="117">
        <f>SUM(P28:W28)</f>
        <v/>
      </c>
      <c r="Y28" s="119">
        <f>O28-X28</f>
        <v/>
      </c>
      <c r="Z28" s="120" t="n">
        <v>500</v>
      </c>
      <c r="AA28" s="119">
        <f>Y28-Z28</f>
        <v/>
      </c>
    </row>
    <row r="29">
      <c r="A29" s="108" t="n">
        <v>18</v>
      </c>
      <c r="B29" s="109" t="n">
        <v>101391642731</v>
      </c>
      <c r="C29" s="110" t="n">
        <v>3310860091</v>
      </c>
      <c r="D29" s="111" t="inlineStr">
        <is>
          <t>DATTATRAY WAGHMODE</t>
        </is>
      </c>
      <c r="E29" s="112" t="n">
        <v>1332.82</v>
      </c>
      <c r="F29" s="113" t="n">
        <v>21</v>
      </c>
      <c r="G29" s="114" t="n">
        <v>7</v>
      </c>
      <c r="H29" s="115">
        <f>F29+G29</f>
        <v/>
      </c>
      <c r="I29" s="116">
        <f>ROUND(F29*E29,0)</f>
        <v/>
      </c>
      <c r="J29" s="116">
        <f>ROUND(E29*G29,0)</f>
        <v/>
      </c>
      <c r="K29" s="116">
        <f>I29+J29</f>
        <v/>
      </c>
      <c r="L29" s="116">
        <f>ROUND($L$4*F29,0)</f>
        <v/>
      </c>
      <c r="M29" s="117">
        <f>ROUND($L29*5%,0)</f>
        <v/>
      </c>
      <c r="N29" s="116">
        <f>K29-L29-M29</f>
        <v/>
      </c>
      <c r="O29" s="116">
        <f>N29+M29+L29</f>
        <v/>
      </c>
      <c r="P29" s="117">
        <f>ROUND(L29*12%,0)</f>
        <v/>
      </c>
      <c r="Q29" s="117">
        <f>IF(O29&lt;=7500,0,IF(O29&lt;=10000,175,200))</f>
        <v/>
      </c>
      <c r="R29" s="117">
        <f>ROUND(O29*0.75%,0)</f>
        <v/>
      </c>
      <c r="S29" s="117" t="n"/>
      <c r="T29" s="111" t="n"/>
      <c r="U29" s="118" t="n"/>
      <c r="V29" s="118" t="n"/>
      <c r="W29" s="111" t="n"/>
      <c r="X29" s="117">
        <f>SUM(P29:W29)</f>
        <v/>
      </c>
      <c r="Y29" s="119">
        <f>O29-X29</f>
        <v/>
      </c>
      <c r="Z29" s="120" t="n">
        <v>500</v>
      </c>
      <c r="AA29" s="119">
        <f>Y29-Z29</f>
        <v/>
      </c>
    </row>
    <row r="30">
      <c r="A30" s="108" t="n">
        <v>19</v>
      </c>
      <c r="B30" s="109" t="n">
        <v>101951607402</v>
      </c>
      <c r="C30" s="110" t="n">
        <v>3315195309</v>
      </c>
      <c r="D30" s="111" t="inlineStr">
        <is>
          <t>DAVALSAB NADHAF</t>
        </is>
      </c>
      <c r="E30" s="112" t="n">
        <v>1077.11</v>
      </c>
      <c r="F30" s="113" t="n">
        <v>19</v>
      </c>
      <c r="G30" s="114" t="n">
        <v>3</v>
      </c>
      <c r="H30" s="115">
        <f>F30+G30</f>
        <v/>
      </c>
      <c r="I30" s="116">
        <f>ROUND(F30*E30,0)</f>
        <v/>
      </c>
      <c r="J30" s="116">
        <f>ROUND(E30*G30,0)</f>
        <v/>
      </c>
      <c r="K30" s="116">
        <f>I30+J30</f>
        <v/>
      </c>
      <c r="L30" s="116">
        <f>ROUND($L$4*F30,0)</f>
        <v/>
      </c>
      <c r="M30" s="117">
        <f>ROUND($L30*5%,0)</f>
        <v/>
      </c>
      <c r="N30" s="116">
        <f>K30-L30-M30</f>
        <v/>
      </c>
      <c r="O30" s="116">
        <f>N30+M30+L30</f>
        <v/>
      </c>
      <c r="P30" s="117">
        <f>ROUND(L30*12%,0)</f>
        <v/>
      </c>
      <c r="Q30" s="117">
        <f>IF(O30&lt;=7500,0,IF(O30&lt;=10000,175,200))</f>
        <v/>
      </c>
      <c r="R30" s="117">
        <f>ROUND(O30*0.75%,0)</f>
        <v/>
      </c>
      <c r="S30" s="117" t="n"/>
      <c r="T30" s="111" t="n"/>
      <c r="U30" s="118" t="n"/>
      <c r="V30" s="118" t="n"/>
      <c r="W30" s="111" t="n"/>
      <c r="X30" s="117">
        <f>SUM(P30:W30)</f>
        <v/>
      </c>
      <c r="Y30" s="119">
        <f>O30-X30</f>
        <v/>
      </c>
      <c r="Z30" s="120" t="n">
        <v>500</v>
      </c>
      <c r="AA30" s="119">
        <f>Y30-Z30</f>
        <v/>
      </c>
    </row>
    <row r="31">
      <c r="A31" s="108" t="n">
        <v>20</v>
      </c>
      <c r="B31" s="109" t="n">
        <v>102053057886</v>
      </c>
      <c r="C31" s="110" t="n">
        <v>3316182475</v>
      </c>
      <c r="D31" s="111" t="inlineStr">
        <is>
          <t xml:space="preserve">DINESH VASANT SALGAR </t>
        </is>
      </c>
      <c r="E31" s="112" t="n">
        <v>993.1900000000001</v>
      </c>
      <c r="F31" s="113" t="n">
        <v>21</v>
      </c>
      <c r="G31" s="114" t="n"/>
      <c r="H31" s="115">
        <f>F31</f>
        <v/>
      </c>
      <c r="I31" s="116">
        <f>ROUND(F31*E31,0)</f>
        <v/>
      </c>
      <c r="J31" s="116" t="n">
        <v>0</v>
      </c>
      <c r="K31" s="116">
        <f>I31+J31</f>
        <v/>
      </c>
      <c r="L31" s="116">
        <f>ROUND($L$4*F31,0)</f>
        <v/>
      </c>
      <c r="M31" s="117">
        <f>ROUND($L31*5%,0)</f>
        <v/>
      </c>
      <c r="N31" s="116">
        <f>K31-L31-M31</f>
        <v/>
      </c>
      <c r="O31" s="116">
        <f>N31+M31+L31</f>
        <v/>
      </c>
      <c r="P31" s="117">
        <f>ROUND(L31*12%,0)</f>
        <v/>
      </c>
      <c r="Q31" s="117">
        <f>IF(O31&lt;=7500,0,IF(O31&lt;=10000,175,200))</f>
        <v/>
      </c>
      <c r="R31" s="117">
        <f>ROUND(O31*0.75%,0)</f>
        <v/>
      </c>
      <c r="S31" s="117" t="n"/>
      <c r="T31" s="111" t="n"/>
      <c r="U31" s="118" t="n"/>
      <c r="V31" s="118" t="n"/>
      <c r="W31" s="111" t="n"/>
      <c r="X31" s="117">
        <f>SUM(P31:W31)</f>
        <v/>
      </c>
      <c r="Y31" s="119">
        <f>O31-X31</f>
        <v/>
      </c>
      <c r="Z31" s="120" t="n">
        <v>500</v>
      </c>
      <c r="AA31" s="119">
        <f>Y31-Z31</f>
        <v/>
      </c>
    </row>
    <row r="32">
      <c r="A32" s="108" t="n">
        <v>21</v>
      </c>
      <c r="B32" s="109" t="n">
        <v>102052667942</v>
      </c>
      <c r="C32" s="110" t="n">
        <v>3316185594</v>
      </c>
      <c r="D32" s="111" t="inlineStr">
        <is>
          <t>DIPAK DATTRAY KUMBHAR</t>
        </is>
      </c>
      <c r="E32" s="112" t="n">
        <v>729.5</v>
      </c>
      <c r="F32" s="113" t="n">
        <v>26</v>
      </c>
      <c r="G32" s="114" t="n"/>
      <c r="H32" s="115">
        <f>F32</f>
        <v/>
      </c>
      <c r="I32" s="116">
        <f>ROUND(F32*E32,0)</f>
        <v/>
      </c>
      <c r="J32" s="116" t="n">
        <v>0</v>
      </c>
      <c r="K32" s="116">
        <f>I32+J32</f>
        <v/>
      </c>
      <c r="L32" s="116">
        <f>ROUND($L$4*F32,0)</f>
        <v/>
      </c>
      <c r="M32" s="117">
        <f>ROUND($L32*5%,0)</f>
        <v/>
      </c>
      <c r="N32" s="116">
        <f>K32-L32-M32</f>
        <v/>
      </c>
      <c r="O32" s="116">
        <f>N32+M32+L32</f>
        <v/>
      </c>
      <c r="P32" s="117">
        <f>ROUND(L32*12%,0)</f>
        <v/>
      </c>
      <c r="Q32" s="117">
        <f>IF(O32&lt;=7500,0,IF(O32&lt;=10000,175,200))</f>
        <v/>
      </c>
      <c r="R32" s="117">
        <f>ROUND(O32*0.75%,0)</f>
        <v/>
      </c>
      <c r="S32" s="117" t="n"/>
      <c r="T32" s="111" t="n"/>
      <c r="U32" s="118" t="n"/>
      <c r="V32" s="118" t="n"/>
      <c r="W32" s="111" t="n"/>
      <c r="X32" s="117">
        <f>SUM(P32:W32)</f>
        <v/>
      </c>
      <c r="Y32" s="119">
        <f>O32-X32</f>
        <v/>
      </c>
      <c r="Z32" s="120" t="n">
        <v>500</v>
      </c>
      <c r="AA32" s="119">
        <f>Y32-Z32</f>
        <v/>
      </c>
    </row>
    <row r="33">
      <c r="A33" s="108" t="n">
        <v>22</v>
      </c>
      <c r="B33" s="109" t="n">
        <v>102081665259</v>
      </c>
      <c r="C33" s="110" t="n">
        <v>3316492655</v>
      </c>
      <c r="D33" s="111" t="inlineStr">
        <is>
          <t>SIDHRAM DOMBE</t>
        </is>
      </c>
      <c r="E33" s="112" t="n">
        <v>834.36</v>
      </c>
      <c r="F33" s="113" t="n">
        <v>18</v>
      </c>
      <c r="G33" s="114" t="n"/>
      <c r="H33" s="115">
        <f>F33</f>
        <v/>
      </c>
      <c r="I33" s="116">
        <f>ROUND(F33*E33,0)</f>
        <v/>
      </c>
      <c r="J33" s="116" t="n">
        <v>0</v>
      </c>
      <c r="K33" s="116">
        <f>I33+J33</f>
        <v/>
      </c>
      <c r="L33" s="116">
        <f>ROUND($L$4*F33,0)</f>
        <v/>
      </c>
      <c r="M33" s="117">
        <f>ROUND($L33*5%,0)</f>
        <v/>
      </c>
      <c r="N33" s="116">
        <f>K33-L33-M33</f>
        <v/>
      </c>
      <c r="O33" s="116">
        <f>N33+M33+L33</f>
        <v/>
      </c>
      <c r="P33" s="117">
        <f>ROUND(L33*12%,0)</f>
        <v/>
      </c>
      <c r="Q33" s="117">
        <f>IF(O33&lt;=7500,0,IF(O33&lt;=10000,175,200))</f>
        <v/>
      </c>
      <c r="R33" s="117">
        <f>ROUND(O33*0.75%,0)</f>
        <v/>
      </c>
      <c r="S33" s="117" t="n"/>
      <c r="T33" s="111" t="n"/>
      <c r="U33" s="118" t="n"/>
      <c r="V33" s="118" t="n"/>
      <c r="W33" s="111" t="n"/>
      <c r="X33" s="117">
        <f>SUM(P33:W33)</f>
        <v/>
      </c>
      <c r="Y33" s="119">
        <f>O33-X33</f>
        <v/>
      </c>
      <c r="Z33" s="120" t="n">
        <v>500</v>
      </c>
      <c r="AA33" s="119">
        <f>Y33-Z33</f>
        <v/>
      </c>
    </row>
    <row r="34">
      <c r="A34" s="108" t="n">
        <v>23</v>
      </c>
      <c r="B34" s="109" t="n">
        <v>101678665637</v>
      </c>
      <c r="C34" s="110" t="n">
        <v>3317510655</v>
      </c>
      <c r="D34" s="111" t="inlineStr">
        <is>
          <t>GENSIDHHA AMASIDHHA VAMANE</t>
        </is>
      </c>
      <c r="E34" s="112" t="n">
        <v>764.87</v>
      </c>
      <c r="F34" s="113" t="n">
        <v>23</v>
      </c>
      <c r="G34" s="114" t="n">
        <v>2</v>
      </c>
      <c r="H34" s="115">
        <f>F34+G34</f>
        <v/>
      </c>
      <c r="I34" s="116">
        <f>ROUND(F34*E34,0)</f>
        <v/>
      </c>
      <c r="J34" s="116">
        <f>ROUND(E34*G34,0)</f>
        <v/>
      </c>
      <c r="K34" s="116">
        <f>I34+J34</f>
        <v/>
      </c>
      <c r="L34" s="116">
        <f>ROUND($L$4*F34,0)</f>
        <v/>
      </c>
      <c r="M34" s="117">
        <f>ROUND($L34*5%,0)</f>
        <v/>
      </c>
      <c r="N34" s="116">
        <f>K34-L34-M34</f>
        <v/>
      </c>
      <c r="O34" s="116">
        <f>N34+M34+L34</f>
        <v/>
      </c>
      <c r="P34" s="117">
        <f>ROUND(L34*12%,0)</f>
        <v/>
      </c>
      <c r="Q34" s="117">
        <f>IF(O34&lt;=7500,0,IF(O34&lt;=10000,175,200))</f>
        <v/>
      </c>
      <c r="R34" s="117">
        <f>ROUND(O34*0.75%,0)</f>
        <v/>
      </c>
      <c r="S34" s="117" t="n"/>
      <c r="T34" s="111" t="n"/>
      <c r="U34" s="118" t="n"/>
      <c r="V34" s="118" t="n"/>
      <c r="W34" s="111" t="n"/>
      <c r="X34" s="117">
        <f>SUM(P34:W34)</f>
        <v/>
      </c>
      <c r="Y34" s="119">
        <f>O34-X34</f>
        <v/>
      </c>
      <c r="Z34" s="120" t="n">
        <v>500</v>
      </c>
      <c r="AA34" s="119">
        <f>Y34-Z34</f>
        <v/>
      </c>
    </row>
    <row r="35">
      <c r="A35" s="108" t="n">
        <v>24</v>
      </c>
      <c r="B35" s="109" t="n">
        <v>100450352070</v>
      </c>
      <c r="C35" s="110" t="n">
        <v>3315397405</v>
      </c>
      <c r="D35" s="111" t="inlineStr">
        <is>
          <t>SACHIN GHANTE</t>
        </is>
      </c>
      <c r="E35" s="112" t="n">
        <v>856.86</v>
      </c>
      <c r="F35" s="113" t="n">
        <v>23</v>
      </c>
      <c r="G35" s="114" t="n"/>
      <c r="H35" s="115">
        <f>F35</f>
        <v/>
      </c>
      <c r="I35" s="116">
        <f>ROUND(F35*E35,0)</f>
        <v/>
      </c>
      <c r="J35" s="116" t="n">
        <v>0</v>
      </c>
      <c r="K35" s="116">
        <f>I35+J35</f>
        <v/>
      </c>
      <c r="L35" s="116">
        <f>ROUND($L$4*F35,0)</f>
        <v/>
      </c>
      <c r="M35" s="117">
        <f>ROUND($L35*5%,0)</f>
        <v/>
      </c>
      <c r="N35" s="116">
        <f>K35-L35-M35</f>
        <v/>
      </c>
      <c r="O35" s="116">
        <f>N35+M35+L35</f>
        <v/>
      </c>
      <c r="P35" s="117">
        <f>ROUND(L35*12%,0)</f>
        <v/>
      </c>
      <c r="Q35" s="117">
        <f>IF(O35&lt;=7500,0,IF(O35&lt;=10000,175,200))</f>
        <v/>
      </c>
      <c r="R35" s="117">
        <f>ROUND(O35*0.75%,0)</f>
        <v/>
      </c>
      <c r="S35" s="117" t="n"/>
      <c r="T35" s="111" t="n"/>
      <c r="U35" s="118" t="n"/>
      <c r="V35" s="118" t="n"/>
      <c r="W35" s="111" t="n"/>
      <c r="X35" s="117">
        <f>SUM(P35:W35)</f>
        <v/>
      </c>
      <c r="Y35" s="119">
        <f>O35-X35</f>
        <v/>
      </c>
      <c r="Z35" s="120" t="n">
        <v>500</v>
      </c>
      <c r="AA35" s="119">
        <f>Y35-Z35</f>
        <v/>
      </c>
    </row>
    <row r="36">
      <c r="A36" s="108" t="n">
        <v>25</v>
      </c>
      <c r="B36" s="109" t="n">
        <v>101826609019</v>
      </c>
      <c r="C36" s="110" t="n">
        <v>3314020788</v>
      </c>
      <c r="D36" s="111" t="inlineStr">
        <is>
          <t>GIRESH S MADYAL</t>
        </is>
      </c>
      <c r="E36" s="112" t="n">
        <v>851.98</v>
      </c>
      <c r="F36" s="113" t="n">
        <v>24</v>
      </c>
      <c r="G36" s="114" t="n">
        <v>7</v>
      </c>
      <c r="H36" s="115">
        <f>F36+G36</f>
        <v/>
      </c>
      <c r="I36" s="116">
        <f>ROUND(F36*E36,0)</f>
        <v/>
      </c>
      <c r="J36" s="116">
        <f>ROUND(E36*G36,0)</f>
        <v/>
      </c>
      <c r="K36" s="116">
        <f>I36+J36</f>
        <v/>
      </c>
      <c r="L36" s="116">
        <f>ROUND($L$4*F36,0)</f>
        <v/>
      </c>
      <c r="M36" s="117">
        <f>ROUND($L36*5%,0)</f>
        <v/>
      </c>
      <c r="N36" s="116">
        <f>K36-L36-M36</f>
        <v/>
      </c>
      <c r="O36" s="116">
        <f>N36+M36+L36</f>
        <v/>
      </c>
      <c r="P36" s="117">
        <f>ROUND(L36*12%,0)</f>
        <v/>
      </c>
      <c r="Q36" s="117">
        <f>IF(O36&lt;=7500,0,IF(O36&lt;=10000,175,200))</f>
        <v/>
      </c>
      <c r="R36" s="117">
        <f>ROUND(O36*0.75%,0)</f>
        <v/>
      </c>
      <c r="S36" s="117" t="n"/>
      <c r="T36" s="111" t="n"/>
      <c r="U36" s="118" t="n"/>
      <c r="V36" s="118" t="n"/>
      <c r="W36" s="111" t="n"/>
      <c r="X36" s="117">
        <f>SUM(P36:W36)</f>
        <v/>
      </c>
      <c r="Y36" s="119">
        <f>O36-X36</f>
        <v/>
      </c>
      <c r="Z36" s="120" t="n">
        <v>500</v>
      </c>
      <c r="AA36" s="119">
        <f>Y36-Z36</f>
        <v/>
      </c>
    </row>
    <row r="37">
      <c r="A37" s="108" t="n">
        <v>26</v>
      </c>
      <c r="B37" s="109" t="n">
        <v>102209140373</v>
      </c>
      <c r="C37" s="110" t="n">
        <v>3317686370</v>
      </c>
      <c r="D37" s="111" t="inlineStr">
        <is>
          <t>HARUN MULLA</t>
        </is>
      </c>
      <c r="E37" s="112" t="n">
        <v>1160.73</v>
      </c>
      <c r="F37" s="113" t="n">
        <v>22</v>
      </c>
      <c r="G37" s="114" t="n"/>
      <c r="H37" s="115">
        <f>F37</f>
        <v/>
      </c>
      <c r="I37" s="116">
        <f>ROUND(F37*E37,0)</f>
        <v/>
      </c>
      <c r="J37" s="116" t="n">
        <v>0</v>
      </c>
      <c r="K37" s="116">
        <f>I37+J37</f>
        <v/>
      </c>
      <c r="L37" s="116">
        <f>ROUND($L$4*F37,0)</f>
        <v/>
      </c>
      <c r="M37" s="117">
        <f>ROUND($L37*5%,0)</f>
        <v/>
      </c>
      <c r="N37" s="116">
        <f>K37-L37-M37</f>
        <v/>
      </c>
      <c r="O37" s="116">
        <f>N37+M37+L37</f>
        <v/>
      </c>
      <c r="P37" s="117">
        <f>ROUND(L37*12%,0)</f>
        <v/>
      </c>
      <c r="Q37" s="117">
        <f>IF(O37&lt;=7500,0,IF(O37&lt;=10000,175,200))</f>
        <v/>
      </c>
      <c r="R37" s="117">
        <f>ROUND(O37*0.75%,0)</f>
        <v/>
      </c>
      <c r="S37" s="117" t="n"/>
      <c r="T37" s="111" t="n"/>
      <c r="U37" s="118" t="n"/>
      <c r="V37" s="118" t="n"/>
      <c r="W37" s="111" t="n"/>
      <c r="X37" s="117">
        <f>SUM(P37:W37)</f>
        <v/>
      </c>
      <c r="Y37" s="119">
        <f>O37-X37</f>
        <v/>
      </c>
      <c r="Z37" s="120" t="n">
        <v>500</v>
      </c>
      <c r="AA37" s="119">
        <f>Y37-Z37</f>
        <v/>
      </c>
    </row>
    <row r="38">
      <c r="A38" s="108" t="n">
        <v>27</v>
      </c>
      <c r="B38" s="109" t="n">
        <v>101969547233</v>
      </c>
      <c r="C38" s="110" t="n">
        <v>3315368099</v>
      </c>
      <c r="D38" s="111" t="inlineStr">
        <is>
          <t>NANDURE HEMANT ANAVIRAPPA</t>
        </is>
      </c>
      <c r="E38" s="112" t="n">
        <v>807.12</v>
      </c>
      <c r="F38" s="113" t="n">
        <v>26</v>
      </c>
      <c r="G38" s="114" t="n"/>
      <c r="H38" s="115">
        <f>F38</f>
        <v/>
      </c>
      <c r="I38" s="116">
        <f>ROUND(F38*E38,0)</f>
        <v/>
      </c>
      <c r="J38" s="116" t="n">
        <v>0</v>
      </c>
      <c r="K38" s="116">
        <f>I38+J38</f>
        <v/>
      </c>
      <c r="L38" s="116">
        <f>ROUND($L$4*F38,0)</f>
        <v/>
      </c>
      <c r="M38" s="117">
        <f>ROUND($L38*5%,0)</f>
        <v/>
      </c>
      <c r="N38" s="116">
        <f>K38-L38-M38</f>
        <v/>
      </c>
      <c r="O38" s="116">
        <f>N38+M38+L38</f>
        <v/>
      </c>
      <c r="P38" s="117">
        <f>ROUND(L38*12%,0)</f>
        <v/>
      </c>
      <c r="Q38" s="117">
        <f>IF(O38&lt;=7500,0,IF(O38&lt;=10000,175,200))</f>
        <v/>
      </c>
      <c r="R38" s="117">
        <f>ROUND(O38*0.75%,0)</f>
        <v/>
      </c>
      <c r="S38" s="117" t="n"/>
      <c r="T38" s="111" t="n"/>
      <c r="U38" s="118" t="n"/>
      <c r="V38" s="118" t="n"/>
      <c r="W38" s="111" t="n"/>
      <c r="X38" s="117">
        <f>SUM(P38:W38)</f>
        <v/>
      </c>
      <c r="Y38" s="119">
        <f>O38-X38</f>
        <v/>
      </c>
      <c r="Z38" s="120" t="n">
        <v>500</v>
      </c>
      <c r="AA38" s="119">
        <f>Y38-Z38</f>
        <v/>
      </c>
    </row>
    <row r="39">
      <c r="A39" s="108" t="n">
        <v>28</v>
      </c>
      <c r="B39" s="109" t="n">
        <v>102190249257</v>
      </c>
      <c r="C39" s="110" t="n">
        <v>3317510361</v>
      </c>
      <c r="D39" s="111" t="inlineStr">
        <is>
          <t>YUVRAJ MALAKARI HIKKURE</t>
        </is>
      </c>
      <c r="E39" s="112" t="n">
        <v>859.73</v>
      </c>
      <c r="F39" s="113" t="n">
        <v>24</v>
      </c>
      <c r="G39" s="114" t="n">
        <v>5</v>
      </c>
      <c r="H39" s="115">
        <f>F39+G39</f>
        <v/>
      </c>
      <c r="I39" s="116">
        <f>ROUND(F39*E39,0)</f>
        <v/>
      </c>
      <c r="J39" s="116">
        <f>ROUND(E39*G39,0)</f>
        <v/>
      </c>
      <c r="K39" s="116">
        <f>I39+J39</f>
        <v/>
      </c>
      <c r="L39" s="116">
        <f>ROUND($L$4*F39,0)</f>
        <v/>
      </c>
      <c r="M39" s="117">
        <f>ROUND($L39*5%,0)</f>
        <v/>
      </c>
      <c r="N39" s="116">
        <f>K39-L39-M39</f>
        <v/>
      </c>
      <c r="O39" s="116">
        <f>N39+M39+L39</f>
        <v/>
      </c>
      <c r="P39" s="117">
        <f>ROUND(L39*12%,0)</f>
        <v/>
      </c>
      <c r="Q39" s="117">
        <f>IF(O39&lt;=7500,0,IF(O39&lt;=10000,175,200))</f>
        <v/>
      </c>
      <c r="R39" s="117">
        <f>ROUND(O39*0.75%,0)</f>
        <v/>
      </c>
      <c r="S39" s="117" t="n"/>
      <c r="T39" s="111" t="n"/>
      <c r="U39" s="118" t="n"/>
      <c r="V39" s="118" t="n"/>
      <c r="W39" s="111" t="n"/>
      <c r="X39" s="117">
        <f>SUM(P39:W39)</f>
        <v/>
      </c>
      <c r="Y39" s="119">
        <f>O39-X39</f>
        <v/>
      </c>
      <c r="Z39" s="120" t="n">
        <v>500</v>
      </c>
      <c r="AA39" s="119">
        <f>Y39-Z39</f>
        <v/>
      </c>
    </row>
    <row r="40">
      <c r="A40" s="108" t="n">
        <v>29</v>
      </c>
      <c r="B40" s="109" t="n">
        <v>102053057864</v>
      </c>
      <c r="C40" s="110" t="n">
        <v>3317629009</v>
      </c>
      <c r="D40" s="111" t="inlineStr">
        <is>
          <t>JAVED AJMODDIN NADAF</t>
        </is>
      </c>
      <c r="E40" s="112" t="n">
        <v>1380.4</v>
      </c>
      <c r="F40" s="113" t="n">
        <v>20</v>
      </c>
      <c r="G40" s="114" t="n">
        <v>2</v>
      </c>
      <c r="H40" s="115">
        <f>F40+G40</f>
        <v/>
      </c>
      <c r="I40" s="116">
        <f>ROUND(F40*E40,0)</f>
        <v/>
      </c>
      <c r="J40" s="116">
        <f>ROUND(E40*G40,0)</f>
        <v/>
      </c>
      <c r="K40" s="116">
        <f>I40+J40</f>
        <v/>
      </c>
      <c r="L40" s="116">
        <f>ROUND($L$4*F40,0)</f>
        <v/>
      </c>
      <c r="M40" s="117">
        <f>ROUND($L40*5%,0)</f>
        <v/>
      </c>
      <c r="N40" s="116">
        <f>K40-L40-M40</f>
        <v/>
      </c>
      <c r="O40" s="116">
        <f>N40+M40+L40</f>
        <v/>
      </c>
      <c r="P40" s="117">
        <f>ROUND(L40*12%,0)</f>
        <v/>
      </c>
      <c r="Q40" s="117">
        <f>IF(O40&lt;=7500,0,IF(O40&lt;=10000,175,200))</f>
        <v/>
      </c>
      <c r="R40" s="117">
        <f>ROUND(O40*0.75%,0)</f>
        <v/>
      </c>
      <c r="S40" s="117" t="n"/>
      <c r="T40" s="111" t="n"/>
      <c r="U40" s="118" t="n"/>
      <c r="V40" s="118" t="n"/>
      <c r="W40" s="111" t="n"/>
      <c r="X40" s="117">
        <f>SUM(P40:W40)</f>
        <v/>
      </c>
      <c r="Y40" s="119">
        <f>O40-X40</f>
        <v/>
      </c>
      <c r="Z40" s="120" t="n">
        <v>500</v>
      </c>
      <c r="AA40" s="119">
        <f>Y40-Z40</f>
        <v/>
      </c>
    </row>
    <row r="41">
      <c r="A41" s="108" t="n">
        <v>30</v>
      </c>
      <c r="B41" s="121" t="n">
        <v>101603294918</v>
      </c>
      <c r="C41" s="110" t="n">
        <v>3312027406</v>
      </c>
      <c r="D41" s="111" t="inlineStr">
        <is>
          <t>JETINDAR S KOLI</t>
        </is>
      </c>
      <c r="E41" s="112" t="n">
        <v>1238.99</v>
      </c>
      <c r="F41" s="113" t="n">
        <v>18</v>
      </c>
      <c r="G41" s="114" t="n">
        <v>3</v>
      </c>
      <c r="H41" s="115">
        <f>F41+G41</f>
        <v/>
      </c>
      <c r="I41" s="116">
        <f>ROUND(F41*E41,0)</f>
        <v/>
      </c>
      <c r="J41" s="116">
        <f>ROUND(E41*G41,0)</f>
        <v/>
      </c>
      <c r="K41" s="116">
        <f>I41+J41</f>
        <v/>
      </c>
      <c r="L41" s="116">
        <f>ROUND($L$4*F41,0)</f>
        <v/>
      </c>
      <c r="M41" s="117">
        <f>ROUND($L41*5%,0)</f>
        <v/>
      </c>
      <c r="N41" s="116">
        <f>K41-L41-M41</f>
        <v/>
      </c>
      <c r="O41" s="116">
        <f>N41+M41+L41</f>
        <v/>
      </c>
      <c r="P41" s="117">
        <f>ROUND(L41*12%,0)</f>
        <v/>
      </c>
      <c r="Q41" s="117">
        <f>IF(O41&lt;=7500,0,IF(O41&lt;=10000,175,200))</f>
        <v/>
      </c>
      <c r="R41" s="117">
        <f>ROUND(O41*0.75%,0)</f>
        <v/>
      </c>
      <c r="S41" s="117" t="n"/>
      <c r="T41" s="111" t="n"/>
      <c r="U41" s="118" t="n"/>
      <c r="V41" s="118" t="n"/>
      <c r="W41" s="111" t="n"/>
      <c r="X41" s="117">
        <f>SUM(P41:W41)</f>
        <v/>
      </c>
      <c r="Y41" s="119">
        <f>O41-X41</f>
        <v/>
      </c>
      <c r="Z41" s="120" t="n">
        <v>500</v>
      </c>
      <c r="AA41" s="119">
        <f>Y41-Z41</f>
        <v/>
      </c>
    </row>
    <row r="42">
      <c r="A42" s="108" t="n">
        <v>31</v>
      </c>
      <c r="B42" s="109" t="n">
        <v>101520450548</v>
      </c>
      <c r="C42" s="110" t="n">
        <v>3311362160</v>
      </c>
      <c r="D42" s="111" t="inlineStr">
        <is>
          <t>KASHINATH ABHIMANU PATIL</t>
        </is>
      </c>
      <c r="E42" s="112" t="n">
        <v>870.2</v>
      </c>
      <c r="F42" s="113" t="n">
        <v>24</v>
      </c>
      <c r="G42" s="114" t="n">
        <v>5</v>
      </c>
      <c r="H42" s="115">
        <f>F42+G42</f>
        <v/>
      </c>
      <c r="I42" s="116">
        <f>ROUND(F42*E42,0)</f>
        <v/>
      </c>
      <c r="J42" s="116">
        <f>ROUND(E42*G42,0)</f>
        <v/>
      </c>
      <c r="K42" s="116">
        <f>I42+J42</f>
        <v/>
      </c>
      <c r="L42" s="116">
        <f>ROUND($L$4*F42,0)</f>
        <v/>
      </c>
      <c r="M42" s="117">
        <f>ROUND($L42*5%,0)</f>
        <v/>
      </c>
      <c r="N42" s="116">
        <f>K42-L42-M42</f>
        <v/>
      </c>
      <c r="O42" s="116">
        <f>N42+M42+L42</f>
        <v/>
      </c>
      <c r="P42" s="117">
        <f>ROUND(L42*12%,0)</f>
        <v/>
      </c>
      <c r="Q42" s="117">
        <f>IF(O42&lt;=7500,0,IF(O42&lt;=10000,175,200))</f>
        <v/>
      </c>
      <c r="R42" s="117">
        <f>ROUND(O42*0.75%,0)</f>
        <v/>
      </c>
      <c r="S42" s="117" t="n"/>
      <c r="T42" s="111" t="n"/>
      <c r="U42" s="118" t="n"/>
      <c r="V42" s="118" t="n"/>
      <c r="W42" s="111" t="n"/>
      <c r="X42" s="117">
        <f>SUM(P42:W42)</f>
        <v/>
      </c>
      <c r="Y42" s="119">
        <f>O42-X42</f>
        <v/>
      </c>
      <c r="Z42" s="120" t="n">
        <v>500</v>
      </c>
      <c r="AA42" s="119">
        <f>Y42-Z42</f>
        <v/>
      </c>
    </row>
    <row r="43">
      <c r="A43" s="108" t="n">
        <v>32</v>
      </c>
      <c r="B43" s="121" t="n">
        <v>101818174092</v>
      </c>
      <c r="C43" s="122" t="n">
        <v>3313938725</v>
      </c>
      <c r="D43" s="111" t="inlineStr">
        <is>
          <t>KASHINATH J BIRAJADAR</t>
        </is>
      </c>
      <c r="E43" s="112" t="n">
        <v>994.74</v>
      </c>
      <c r="F43" s="113" t="n">
        <v>25</v>
      </c>
      <c r="G43" s="114" t="n">
        <v>6</v>
      </c>
      <c r="H43" s="115">
        <f>F43+G43</f>
        <v/>
      </c>
      <c r="I43" s="116">
        <f>ROUND(F43*E43,0)</f>
        <v/>
      </c>
      <c r="J43" s="116">
        <f>ROUND(E43*G43,0)</f>
        <v/>
      </c>
      <c r="K43" s="116">
        <f>I43+J43</f>
        <v/>
      </c>
      <c r="L43" s="116">
        <f>ROUND($L$4*F43,0)</f>
        <v/>
      </c>
      <c r="M43" s="117">
        <f>ROUND($L43*5%,0)</f>
        <v/>
      </c>
      <c r="N43" s="116">
        <f>K43-L43-M43</f>
        <v/>
      </c>
      <c r="O43" s="116">
        <f>N43+M43+L43</f>
        <v/>
      </c>
      <c r="P43" s="117">
        <f>ROUND(L43*12%,0)</f>
        <v/>
      </c>
      <c r="Q43" s="117">
        <f>IF(O43&lt;=7500,0,IF(O43&lt;=10000,175,200))</f>
        <v/>
      </c>
      <c r="R43" s="117">
        <f>ROUND(O43*0.75%,0)</f>
        <v/>
      </c>
      <c r="S43" s="117" t="n"/>
      <c r="T43" s="111" t="n"/>
      <c r="U43" s="118" t="n"/>
      <c r="V43" s="118" t="n"/>
      <c r="W43" s="111" t="n"/>
      <c r="X43" s="117">
        <f>SUM(P43:W43)</f>
        <v/>
      </c>
      <c r="Y43" s="119">
        <f>O43-X43</f>
        <v/>
      </c>
      <c r="Z43" s="120" t="n">
        <v>500</v>
      </c>
      <c r="AA43" s="119">
        <f>Y43-Z43</f>
        <v/>
      </c>
    </row>
    <row r="44">
      <c r="A44" s="108" t="n">
        <v>33</v>
      </c>
      <c r="B44" s="109" t="n">
        <v>101373078654</v>
      </c>
      <c r="C44" s="110" t="n">
        <v>3311531000</v>
      </c>
      <c r="D44" s="111" t="inlineStr">
        <is>
          <t>KHALID ILAI SHAIKH</t>
        </is>
      </c>
      <c r="E44" s="112" t="n">
        <v>1373.65</v>
      </c>
      <c r="F44" s="113" t="n">
        <v>18</v>
      </c>
      <c r="G44" s="114" t="n">
        <v>2</v>
      </c>
      <c r="H44" s="115">
        <f>F44+G44</f>
        <v/>
      </c>
      <c r="I44" s="116">
        <f>ROUND(F44*E44,0)</f>
        <v/>
      </c>
      <c r="J44" s="116">
        <f>ROUND(E44*G44,0)</f>
        <v/>
      </c>
      <c r="K44" s="116">
        <f>I44+J44</f>
        <v/>
      </c>
      <c r="L44" s="116">
        <f>ROUND($L$4*F44,0)</f>
        <v/>
      </c>
      <c r="M44" s="117">
        <f>ROUND($L44*5%,0)</f>
        <v/>
      </c>
      <c r="N44" s="116">
        <f>K44-L44-M44</f>
        <v/>
      </c>
      <c r="O44" s="116">
        <f>N44+M44+L44</f>
        <v/>
      </c>
      <c r="P44" s="117">
        <f>ROUND(L44*12%,0)</f>
        <v/>
      </c>
      <c r="Q44" s="117">
        <f>IF(O44&lt;=7500,0,IF(O44&lt;=10000,175,200))</f>
        <v/>
      </c>
      <c r="R44" s="117">
        <f>ROUND(O44*0.75%,0)</f>
        <v/>
      </c>
      <c r="S44" s="117" t="n"/>
      <c r="T44" s="111" t="n"/>
      <c r="U44" s="118" t="n"/>
      <c r="V44" s="118" t="n"/>
      <c r="W44" s="111" t="n"/>
      <c r="X44" s="117">
        <f>SUM(P44:W44)</f>
        <v/>
      </c>
      <c r="Y44" s="119">
        <f>O44-X44</f>
        <v/>
      </c>
      <c r="Z44" s="120" t="n">
        <v>500</v>
      </c>
      <c r="AA44" s="119">
        <f>Y44-Z44</f>
        <v/>
      </c>
    </row>
    <row r="45">
      <c r="A45" s="108" t="n">
        <v>34</v>
      </c>
      <c r="B45" s="121" t="n">
        <v>102086533444</v>
      </c>
      <c r="C45" s="122" t="n">
        <v>3316550718</v>
      </c>
      <c r="D45" s="111" t="inlineStr">
        <is>
          <t>SANDIP CHANDRAKANT KHATAL</t>
        </is>
      </c>
      <c r="E45" s="112" t="n">
        <v>930.9299999999999</v>
      </c>
      <c r="F45" s="113" t="n">
        <v>26</v>
      </c>
      <c r="G45" s="114" t="n">
        <v>8</v>
      </c>
      <c r="H45" s="115">
        <f>F45+G45</f>
        <v/>
      </c>
      <c r="I45" s="116">
        <f>ROUND(F45*E45,0)</f>
        <v/>
      </c>
      <c r="J45" s="116">
        <f>ROUND(E45*G45,0)</f>
        <v/>
      </c>
      <c r="K45" s="116">
        <f>I45+J45</f>
        <v/>
      </c>
      <c r="L45" s="116">
        <f>ROUND($L$4*F45,0)</f>
        <v/>
      </c>
      <c r="M45" s="117">
        <f>ROUND($L45*5%,0)</f>
        <v/>
      </c>
      <c r="N45" s="116">
        <f>K45-L45-M45</f>
        <v/>
      </c>
      <c r="O45" s="116">
        <f>N45+M45+L45</f>
        <v/>
      </c>
      <c r="P45" s="117">
        <f>ROUND(L45*12%,0)</f>
        <v/>
      </c>
      <c r="Q45" s="117">
        <f>IF(O45&lt;=7500,0,IF(O45&lt;=10000,175,200))</f>
        <v/>
      </c>
      <c r="R45" s="117">
        <f>ROUND(O45*0.75%,0)</f>
        <v/>
      </c>
      <c r="S45" s="117" t="n"/>
      <c r="T45" s="111" t="n"/>
      <c r="U45" s="118" t="n"/>
      <c r="V45" s="118" t="n"/>
      <c r="W45" s="111" t="n"/>
      <c r="X45" s="117">
        <f>SUM(P45:W45)</f>
        <v/>
      </c>
      <c r="Y45" s="119">
        <f>O45-X45</f>
        <v/>
      </c>
      <c r="Z45" s="120" t="n">
        <v>500</v>
      </c>
      <c r="AA45" s="119">
        <f>Y45-Z45</f>
        <v/>
      </c>
    </row>
    <row r="46">
      <c r="A46" s="108" t="n">
        <v>35</v>
      </c>
      <c r="B46" s="121" t="n">
        <v>102120964651</v>
      </c>
      <c r="C46" s="110" t="n">
        <v>3316853397</v>
      </c>
      <c r="D46" s="111" t="inlineStr">
        <is>
          <t>KHAJASAHEB GULAB HIMONE</t>
        </is>
      </c>
      <c r="E46" s="112" t="n">
        <v>902.09</v>
      </c>
      <c r="F46" s="113" t="n">
        <v>19</v>
      </c>
      <c r="G46" s="114" t="n"/>
      <c r="H46" s="115">
        <f>F46</f>
        <v/>
      </c>
      <c r="I46" s="116">
        <f>ROUND(F46*E46,0)</f>
        <v/>
      </c>
      <c r="J46" s="116" t="n">
        <v>0</v>
      </c>
      <c r="K46" s="116">
        <f>I46+J46</f>
        <v/>
      </c>
      <c r="L46" s="116">
        <f>ROUND($L$4*F46,0)</f>
        <v/>
      </c>
      <c r="M46" s="117">
        <f>ROUND($L46*5%,0)</f>
        <v/>
      </c>
      <c r="N46" s="116">
        <f>K46-L46-M46</f>
        <v/>
      </c>
      <c r="O46" s="116">
        <f>N46+M46+L46</f>
        <v/>
      </c>
      <c r="P46" s="117">
        <f>ROUND(L46*12%,0)</f>
        <v/>
      </c>
      <c r="Q46" s="117">
        <f>IF(O46&lt;=7500,0,IF(O46&lt;=10000,175,200))</f>
        <v/>
      </c>
      <c r="R46" s="117">
        <f>ROUND(O46*0.75%,0)</f>
        <v/>
      </c>
      <c r="S46" s="117" t="n"/>
      <c r="T46" s="111" t="n"/>
      <c r="U46" s="118" t="n"/>
      <c r="V46" s="118" t="n"/>
      <c r="W46" s="111" t="n"/>
      <c r="X46" s="117">
        <f>SUM(P46:W46)</f>
        <v/>
      </c>
      <c r="Y46" s="119">
        <f>O46-X46</f>
        <v/>
      </c>
      <c r="Z46" s="120" t="n">
        <v>500</v>
      </c>
      <c r="AA46" s="119">
        <f>Y46-Z46</f>
        <v/>
      </c>
    </row>
    <row r="47">
      <c r="A47" s="108" t="n">
        <v>36</v>
      </c>
      <c r="B47" s="121" t="n">
        <v>102032852951</v>
      </c>
      <c r="C47" s="110" t="n">
        <v>3317057005</v>
      </c>
      <c r="D47" s="111" t="inlineStr">
        <is>
          <t>PRAKASH</t>
        </is>
      </c>
      <c r="E47" s="112" t="n">
        <v>1013</v>
      </c>
      <c r="F47" s="113" t="n">
        <v>18</v>
      </c>
      <c r="G47" s="114" t="n">
        <v>7</v>
      </c>
      <c r="H47" s="115">
        <f>F47+G47</f>
        <v/>
      </c>
      <c r="I47" s="116">
        <f>ROUND(F47*E47,0)</f>
        <v/>
      </c>
      <c r="J47" s="116">
        <f>ROUND(E47*G47,0)</f>
        <v/>
      </c>
      <c r="K47" s="116">
        <f>I47+J47</f>
        <v/>
      </c>
      <c r="L47" s="116">
        <f>ROUND($L$4*F47,0)</f>
        <v/>
      </c>
      <c r="M47" s="117">
        <f>ROUND($L47*5%,0)</f>
        <v/>
      </c>
      <c r="N47" s="116">
        <f>K47-L47-M47</f>
        <v/>
      </c>
      <c r="O47" s="116">
        <f>N47+M47+L47</f>
        <v/>
      </c>
      <c r="P47" s="117">
        <f>ROUND(L47*12%,0)</f>
        <v/>
      </c>
      <c r="Q47" s="117">
        <f>IF(O47&lt;=7500,0,IF(O47&lt;=10000,175,200))</f>
        <v/>
      </c>
      <c r="R47" s="117">
        <f>ROUND(O47*0.75%,0)</f>
        <v/>
      </c>
      <c r="S47" s="117" t="n"/>
      <c r="T47" s="111" t="n"/>
      <c r="U47" s="118" t="n"/>
      <c r="V47" s="118" t="n"/>
      <c r="W47" s="111" t="n"/>
      <c r="X47" s="117">
        <f>SUM(P47:W47)</f>
        <v/>
      </c>
      <c r="Y47" s="119">
        <f>O47-X47</f>
        <v/>
      </c>
      <c r="Z47" s="120" t="n">
        <v>500</v>
      </c>
      <c r="AA47" s="119">
        <f>Y47-Z47</f>
        <v/>
      </c>
    </row>
    <row r="48">
      <c r="A48" s="108" t="n">
        <v>37</v>
      </c>
      <c r="B48" s="109" t="n">
        <v>102090872186</v>
      </c>
      <c r="C48" s="110" t="n">
        <v>3316481452</v>
      </c>
      <c r="D48" s="111" t="inlineStr">
        <is>
          <t>MAHESH BABUSHA LANDAGE</t>
        </is>
      </c>
      <c r="E48" s="112" t="n">
        <v>936.35</v>
      </c>
      <c r="F48" s="113" t="n">
        <v>26</v>
      </c>
      <c r="G48" s="114" t="n">
        <v>6</v>
      </c>
      <c r="H48" s="115">
        <f>F48+G48</f>
        <v/>
      </c>
      <c r="I48" s="116">
        <f>ROUND(F48*E48,0)</f>
        <v/>
      </c>
      <c r="J48" s="116">
        <f>ROUND(E48*G48,0)</f>
        <v/>
      </c>
      <c r="K48" s="116">
        <f>I48+J48</f>
        <v/>
      </c>
      <c r="L48" s="116">
        <f>ROUND($L$4*F48,0)</f>
        <v/>
      </c>
      <c r="M48" s="117">
        <f>ROUND($L48*5%,0)</f>
        <v/>
      </c>
      <c r="N48" s="116">
        <f>K48-L48-M48</f>
        <v/>
      </c>
      <c r="O48" s="116">
        <f>N48+M48+L48</f>
        <v/>
      </c>
      <c r="P48" s="117">
        <f>ROUND(L48*12%,0)</f>
        <v/>
      </c>
      <c r="Q48" s="117">
        <f>IF(O48&lt;=7500,0,IF(O48&lt;=10000,175,200))</f>
        <v/>
      </c>
      <c r="R48" s="117">
        <f>ROUND(O48*0.75%,0)</f>
        <v/>
      </c>
      <c r="S48" s="117" t="n"/>
      <c r="T48" s="111" t="n"/>
      <c r="U48" s="118" t="n"/>
      <c r="V48" s="118" t="n"/>
      <c r="W48" s="111" t="n"/>
      <c r="X48" s="117">
        <f>SUM(P48:W48)</f>
        <v/>
      </c>
      <c r="Y48" s="119">
        <f>O48-X48</f>
        <v/>
      </c>
      <c r="Z48" s="120" t="n">
        <v>500</v>
      </c>
      <c r="AA48" s="119">
        <f>Y48-Z48</f>
        <v/>
      </c>
    </row>
    <row r="49" customFormat="1" s="20">
      <c r="A49" s="108" t="n">
        <v>38</v>
      </c>
      <c r="B49" s="109" t="n">
        <v>101522138160</v>
      </c>
      <c r="C49" s="110" t="n">
        <v>3311953721</v>
      </c>
      <c r="D49" s="111" t="inlineStr">
        <is>
          <t>MALLINATH SHIVARAM VHANAKADE</t>
        </is>
      </c>
      <c r="E49" s="112" t="n">
        <v>1409.13</v>
      </c>
      <c r="F49" s="113" t="n">
        <v>19</v>
      </c>
      <c r="G49" s="114" t="n">
        <v>4</v>
      </c>
      <c r="H49" s="115">
        <f>F49+G49</f>
        <v/>
      </c>
      <c r="I49" s="116">
        <f>ROUND(F49*E49,0)</f>
        <v/>
      </c>
      <c r="J49" s="116">
        <f>ROUND(E49*G49,0)</f>
        <v/>
      </c>
      <c r="K49" s="116">
        <f>I49+J49</f>
        <v/>
      </c>
      <c r="L49" s="116">
        <f>ROUND($L$4*F49,0)</f>
        <v/>
      </c>
      <c r="M49" s="117">
        <f>ROUND($L49*5%,0)</f>
        <v/>
      </c>
      <c r="N49" s="116">
        <f>K49-L49-M49</f>
        <v/>
      </c>
      <c r="O49" s="116">
        <f>N49+M49+L49</f>
        <v/>
      </c>
      <c r="P49" s="117">
        <f>ROUND(L49*12%,0)</f>
        <v/>
      </c>
      <c r="Q49" s="117">
        <f>IF(O49&lt;=7500,0,IF(O49&lt;=10000,175,200))</f>
        <v/>
      </c>
      <c r="R49" s="117">
        <f>ROUND(O49*0.75%,0)</f>
        <v/>
      </c>
      <c r="S49" s="117" t="n"/>
      <c r="T49" s="111" t="n"/>
      <c r="U49" s="118" t="n"/>
      <c r="V49" s="118" t="n"/>
      <c r="W49" s="111" t="n"/>
      <c r="X49" s="117">
        <f>SUM(P49:W49)</f>
        <v/>
      </c>
      <c r="Y49" s="119">
        <f>O49-X49</f>
        <v/>
      </c>
      <c r="Z49" s="120" t="n">
        <v>500</v>
      </c>
      <c r="AA49" s="119">
        <f>Y49-Z49</f>
        <v/>
      </c>
    </row>
    <row r="50">
      <c r="A50" s="108" t="n">
        <v>39</v>
      </c>
      <c r="B50" s="109" t="n">
        <v>101084612898</v>
      </c>
      <c r="C50" s="110" t="n">
        <v>3317595184</v>
      </c>
      <c r="D50" s="111" t="inlineStr">
        <is>
          <t>MANGESH NAVNATH ANKUSHRAO</t>
        </is>
      </c>
      <c r="E50" s="112" t="n">
        <v>799.47</v>
      </c>
      <c r="F50" s="113" t="n">
        <v>26</v>
      </c>
      <c r="G50" s="114" t="n">
        <v>3</v>
      </c>
      <c r="H50" s="115">
        <f>F50+G50</f>
        <v/>
      </c>
      <c r="I50" s="116">
        <f>ROUND(F50*E50,0)</f>
        <v/>
      </c>
      <c r="J50" s="116">
        <f>ROUND(E50*G50,0)</f>
        <v/>
      </c>
      <c r="K50" s="116">
        <f>I50+J50</f>
        <v/>
      </c>
      <c r="L50" s="116">
        <f>ROUND($L$4*F50,0)</f>
        <v/>
      </c>
      <c r="M50" s="117">
        <f>ROUND($L50*5%,0)</f>
        <v/>
      </c>
      <c r="N50" s="116">
        <f>K50-L50-M50</f>
        <v/>
      </c>
      <c r="O50" s="116">
        <f>N50+M50+L50</f>
        <v/>
      </c>
      <c r="P50" s="117">
        <f>ROUND(L50*12%,0)</f>
        <v/>
      </c>
      <c r="Q50" s="117">
        <f>IF(O50&lt;=7500,0,IF(O50&lt;=10000,175,200))</f>
        <v/>
      </c>
      <c r="R50" s="117">
        <f>ROUND(O50*0.75%,0)</f>
        <v/>
      </c>
      <c r="S50" s="117" t="n"/>
      <c r="T50" s="111" t="n"/>
      <c r="U50" s="118" t="n"/>
      <c r="V50" s="118" t="n"/>
      <c r="W50" s="111" t="n"/>
      <c r="X50" s="117">
        <f>SUM(P50:W50)</f>
        <v/>
      </c>
      <c r="Y50" s="119">
        <f>O50-X50</f>
        <v/>
      </c>
      <c r="Z50" s="120" t="n">
        <v>500</v>
      </c>
      <c r="AA50" s="119">
        <f>Y50-Z50</f>
        <v/>
      </c>
    </row>
    <row r="51">
      <c r="A51" s="108" t="n">
        <v>40</v>
      </c>
      <c r="B51" s="109" t="n">
        <v>101732689727</v>
      </c>
      <c r="C51" s="110" t="n">
        <v>3316185376</v>
      </c>
      <c r="D51" s="111" t="inlineStr">
        <is>
          <t>MOIN GULAB MULLA</t>
        </is>
      </c>
      <c r="E51" s="112" t="n">
        <v>1390.35</v>
      </c>
      <c r="F51" s="113" t="n">
        <v>20</v>
      </c>
      <c r="G51" s="114" t="n">
        <v>8</v>
      </c>
      <c r="H51" s="115">
        <f>F51+G51</f>
        <v/>
      </c>
      <c r="I51" s="116">
        <f>ROUND(F51*E51,0)</f>
        <v/>
      </c>
      <c r="J51" s="116">
        <f>ROUND(E51*G51,0)</f>
        <v/>
      </c>
      <c r="K51" s="116">
        <f>I51+J51</f>
        <v/>
      </c>
      <c r="L51" s="116">
        <f>ROUND($L$4*F51,0)</f>
        <v/>
      </c>
      <c r="M51" s="117">
        <f>ROUND($L51*5%,0)</f>
        <v/>
      </c>
      <c r="N51" s="116">
        <f>K51-L51-M51</f>
        <v/>
      </c>
      <c r="O51" s="116">
        <f>N51+M51+L51</f>
        <v/>
      </c>
      <c r="P51" s="117">
        <f>ROUND(L51*12%,0)</f>
        <v/>
      </c>
      <c r="Q51" s="117">
        <f>IF(O51&lt;=7500,0,IF(O51&lt;=10000,175,200))</f>
        <v/>
      </c>
      <c r="R51" s="117">
        <f>ROUND(O51*0.75%,0)</f>
        <v/>
      </c>
      <c r="S51" s="117" t="n"/>
      <c r="T51" s="111" t="n"/>
      <c r="U51" s="118" t="n"/>
      <c r="V51" s="118" t="n"/>
      <c r="W51" s="111" t="n"/>
      <c r="X51" s="117">
        <f>SUM(P51:W51)</f>
        <v/>
      </c>
      <c r="Y51" s="119">
        <f>O51-X51</f>
        <v/>
      </c>
      <c r="Z51" s="120" t="n">
        <v>500</v>
      </c>
      <c r="AA51" s="119">
        <f>Y51-Z51</f>
        <v/>
      </c>
    </row>
    <row r="52">
      <c r="A52" s="108" t="n">
        <v>41</v>
      </c>
      <c r="B52" s="109" t="n">
        <v>101902123648</v>
      </c>
      <c r="C52" s="110" t="n">
        <v>3315199679</v>
      </c>
      <c r="D52" s="111" t="inlineStr">
        <is>
          <t>MUSHTAK SHAIKH</t>
        </is>
      </c>
      <c r="E52" s="112" t="n">
        <v>827.28</v>
      </c>
      <c r="F52" s="113" t="n">
        <v>18</v>
      </c>
      <c r="G52" s="114" t="n">
        <v>5</v>
      </c>
      <c r="H52" s="115">
        <f>F52+G52</f>
        <v/>
      </c>
      <c r="I52" s="116">
        <f>ROUND(F52*E52,0)</f>
        <v/>
      </c>
      <c r="J52" s="116">
        <f>ROUND(E52*G52,0)</f>
        <v/>
      </c>
      <c r="K52" s="116">
        <f>I52+J52</f>
        <v/>
      </c>
      <c r="L52" s="116">
        <f>ROUND($L$4*F52,0)</f>
        <v/>
      </c>
      <c r="M52" s="117">
        <f>ROUND($L52*5%,0)</f>
        <v/>
      </c>
      <c r="N52" s="116">
        <f>K52-L52-M52</f>
        <v/>
      </c>
      <c r="O52" s="116">
        <f>N52+M52+L52</f>
        <v/>
      </c>
      <c r="P52" s="117">
        <f>ROUND(L52*12%,0)</f>
        <v/>
      </c>
      <c r="Q52" s="117">
        <f>IF(O52&lt;=7500,0,IF(O52&lt;=10000,175,200))</f>
        <v/>
      </c>
      <c r="R52" s="117">
        <f>ROUND(O52*0.75%,0)</f>
        <v/>
      </c>
      <c r="S52" s="117" t="n"/>
      <c r="T52" s="111" t="n"/>
      <c r="U52" s="118" t="n"/>
      <c r="V52" s="118" t="n"/>
      <c r="W52" s="111" t="n"/>
      <c r="X52" s="117">
        <f>SUM(P52:W52)</f>
        <v/>
      </c>
      <c r="Y52" s="119">
        <f>O52-X52</f>
        <v/>
      </c>
      <c r="Z52" s="120" t="n">
        <v>500</v>
      </c>
      <c r="AA52" s="119">
        <f>Y52-Z52</f>
        <v/>
      </c>
    </row>
    <row r="53">
      <c r="A53" s="108" t="n">
        <v>42</v>
      </c>
      <c r="B53" s="109" t="n">
        <v>102062806876</v>
      </c>
      <c r="C53" s="110" t="n">
        <v>3316290554</v>
      </c>
      <c r="D53" s="111" t="inlineStr">
        <is>
          <t>NADAF ARBAJ ILAHI</t>
        </is>
      </c>
      <c r="E53" s="112" t="n">
        <v>1115.58</v>
      </c>
      <c r="F53" s="113" t="n">
        <v>19</v>
      </c>
      <c r="G53" s="114" t="n">
        <v>8</v>
      </c>
      <c r="H53" s="115">
        <f>F53+G53</f>
        <v/>
      </c>
      <c r="I53" s="116">
        <f>ROUND(F53*E53,0)</f>
        <v/>
      </c>
      <c r="J53" s="116">
        <f>ROUND(E53*G53,0)</f>
        <v/>
      </c>
      <c r="K53" s="116">
        <f>I53+J53</f>
        <v/>
      </c>
      <c r="L53" s="116">
        <f>ROUND($L$4*F53,0)</f>
        <v/>
      </c>
      <c r="M53" s="117">
        <f>ROUND($L53*5%,0)</f>
        <v/>
      </c>
      <c r="N53" s="116">
        <f>K53-L53-M53</f>
        <v/>
      </c>
      <c r="O53" s="116">
        <f>N53+M53+L53</f>
        <v/>
      </c>
      <c r="P53" s="117">
        <f>ROUND(L53*12%,0)</f>
        <v/>
      </c>
      <c r="Q53" s="117">
        <f>IF(O53&lt;=7500,0,IF(O53&lt;=10000,175,200))</f>
        <v/>
      </c>
      <c r="R53" s="117">
        <f>ROUND(O53*0.75%,0)</f>
        <v/>
      </c>
      <c r="S53" s="117" t="n"/>
      <c r="T53" s="111" t="n"/>
      <c r="U53" s="118" t="n"/>
      <c r="V53" s="118" t="n"/>
      <c r="W53" s="111" t="n"/>
      <c r="X53" s="117">
        <f>SUM(P53:W53)</f>
        <v/>
      </c>
      <c r="Y53" s="119">
        <f>O53-X53</f>
        <v/>
      </c>
      <c r="Z53" s="120" t="n">
        <v>500</v>
      </c>
      <c r="AA53" s="119">
        <f>Y53-Z53</f>
        <v/>
      </c>
    </row>
    <row r="54">
      <c r="A54" s="108" t="n">
        <v>43</v>
      </c>
      <c r="B54" s="109" t="n">
        <v>101407413648</v>
      </c>
      <c r="C54" s="110" t="n">
        <v>3310316931</v>
      </c>
      <c r="D54" s="111" t="inlineStr">
        <is>
          <t>NAMDEV DURGAPPA BANDGAR</t>
        </is>
      </c>
      <c r="E54" s="112" t="n">
        <v>1297.07</v>
      </c>
      <c r="F54" s="113" t="n">
        <v>21</v>
      </c>
      <c r="G54" s="114" t="n"/>
      <c r="H54" s="115">
        <f>F54</f>
        <v/>
      </c>
      <c r="I54" s="116">
        <f>ROUND(F54*E54,0)</f>
        <v/>
      </c>
      <c r="J54" s="116" t="n">
        <v>0</v>
      </c>
      <c r="K54" s="116">
        <f>I54+J54</f>
        <v/>
      </c>
      <c r="L54" s="116">
        <f>ROUND($L$4*F54,0)</f>
        <v/>
      </c>
      <c r="M54" s="117">
        <f>ROUND($L54*5%,0)</f>
        <v/>
      </c>
      <c r="N54" s="116">
        <f>K54-L54-M54</f>
        <v/>
      </c>
      <c r="O54" s="116">
        <f>N54+M54+L54</f>
        <v/>
      </c>
      <c r="P54" s="117">
        <f>ROUND(L54*12%,0)</f>
        <v/>
      </c>
      <c r="Q54" s="117">
        <f>IF(O54&lt;=7500,0,IF(O54&lt;=10000,175,200))</f>
        <v/>
      </c>
      <c r="R54" s="117">
        <f>ROUND(O54*0.75%,0)</f>
        <v/>
      </c>
      <c r="S54" s="117" t="n"/>
      <c r="T54" s="111" t="n"/>
      <c r="U54" s="118" t="n"/>
      <c r="V54" s="118" t="n"/>
      <c r="W54" s="111" t="n"/>
      <c r="X54" s="117">
        <f>SUM(P54:W54)</f>
        <v/>
      </c>
      <c r="Y54" s="119">
        <f>O54-X54</f>
        <v/>
      </c>
      <c r="Z54" s="120" t="n">
        <v>500</v>
      </c>
      <c r="AA54" s="119">
        <f>Y54-Z54</f>
        <v/>
      </c>
    </row>
    <row r="55" customFormat="1" s="20">
      <c r="A55" s="108" t="n">
        <v>44</v>
      </c>
      <c r="B55" s="121" t="n">
        <v>101805790352</v>
      </c>
      <c r="C55" s="110" t="n">
        <v>3313806736</v>
      </c>
      <c r="D55" s="111" t="inlineStr">
        <is>
          <t>PRABHAKAR B NAYKUDE</t>
        </is>
      </c>
      <c r="E55" s="112" t="n">
        <v>1169.52</v>
      </c>
      <c r="F55" s="113" t="n">
        <v>19</v>
      </c>
      <c r="G55" s="114" t="n"/>
      <c r="H55" s="115">
        <f>F55</f>
        <v/>
      </c>
      <c r="I55" s="116">
        <f>ROUND(F55*E55,0)</f>
        <v/>
      </c>
      <c r="J55" s="116" t="n">
        <v>0</v>
      </c>
      <c r="K55" s="116">
        <f>I55+J55</f>
        <v/>
      </c>
      <c r="L55" s="116">
        <f>ROUND($L$4*F55,0)</f>
        <v/>
      </c>
      <c r="M55" s="117">
        <f>ROUND($L55*5%,0)</f>
        <v/>
      </c>
      <c r="N55" s="116">
        <f>K55-L55-M55</f>
        <v/>
      </c>
      <c r="O55" s="116">
        <f>N55+M55+L55</f>
        <v/>
      </c>
      <c r="P55" s="117">
        <f>ROUND(L55*12%,0)</f>
        <v/>
      </c>
      <c r="Q55" s="117">
        <f>IF(O55&lt;=7500,0,IF(O55&lt;=10000,175,200))</f>
        <v/>
      </c>
      <c r="R55" s="117">
        <f>ROUND(O55*0.75%,0)</f>
        <v/>
      </c>
      <c r="S55" s="117" t="n"/>
      <c r="T55" s="111" t="n"/>
      <c r="U55" s="118" t="n"/>
      <c r="V55" s="118" t="n"/>
      <c r="W55" s="111" t="n"/>
      <c r="X55" s="117">
        <f>SUM(P55:W55)</f>
        <v/>
      </c>
      <c r="Y55" s="119">
        <f>O55-X55</f>
        <v/>
      </c>
      <c r="Z55" s="120" t="n">
        <v>500</v>
      </c>
      <c r="AA55" s="119">
        <f>Y55-Z55</f>
        <v/>
      </c>
    </row>
    <row r="56" customFormat="1" s="20">
      <c r="A56" s="108" t="n">
        <v>45</v>
      </c>
      <c r="B56" s="109" t="n">
        <v>101486099649</v>
      </c>
      <c r="C56" s="110" t="n">
        <v>3311361569</v>
      </c>
      <c r="D56" s="111" t="inlineStr">
        <is>
          <t>PUNDALIK CHANDU JADHAV</t>
        </is>
      </c>
      <c r="E56" s="112" t="n">
        <v>1178.06</v>
      </c>
      <c r="F56" s="113" t="n">
        <v>19</v>
      </c>
      <c r="G56" s="114" t="n">
        <v>6</v>
      </c>
      <c r="H56" s="115">
        <f>F56+G56</f>
        <v/>
      </c>
      <c r="I56" s="116">
        <f>ROUND(F56*E56,0)</f>
        <v/>
      </c>
      <c r="J56" s="116">
        <f>ROUND(E56*G56,0)</f>
        <v/>
      </c>
      <c r="K56" s="116">
        <f>I56+J56</f>
        <v/>
      </c>
      <c r="L56" s="116">
        <f>ROUND($L$4*F56,0)</f>
        <v/>
      </c>
      <c r="M56" s="117">
        <f>ROUND($L56*5%,0)</f>
        <v/>
      </c>
      <c r="N56" s="116">
        <f>K56-L56-M56</f>
        <v/>
      </c>
      <c r="O56" s="116">
        <f>N56+M56+L56</f>
        <v/>
      </c>
      <c r="P56" s="117">
        <f>ROUND(L56*12%,0)</f>
        <v/>
      </c>
      <c r="Q56" s="117">
        <f>IF(O56&lt;=7500,0,IF(O56&lt;=10000,175,200))</f>
        <v/>
      </c>
      <c r="R56" s="117">
        <f>ROUND(O56*0.75%,0)</f>
        <v/>
      </c>
      <c r="S56" s="117" t="n"/>
      <c r="T56" s="111" t="n"/>
      <c r="U56" s="118" t="n"/>
      <c r="V56" s="118" t="n"/>
      <c r="W56" s="111" t="n"/>
      <c r="X56" s="117">
        <f>SUM(P56:W56)</f>
        <v/>
      </c>
      <c r="Y56" s="119">
        <f>O56-X56</f>
        <v/>
      </c>
      <c r="Z56" s="120" t="n">
        <v>500</v>
      </c>
      <c r="AA56" s="119">
        <f>Y56-Z56</f>
        <v/>
      </c>
    </row>
    <row r="57" customFormat="1" s="20">
      <c r="A57" s="108" t="n">
        <v>46</v>
      </c>
      <c r="B57" s="109" t="n">
        <v>102078951370</v>
      </c>
      <c r="C57" s="110" t="n">
        <v>3316473499</v>
      </c>
      <c r="D57" s="111" t="inlineStr">
        <is>
          <t>ABHISHEK SUNIL RATHOD</t>
        </is>
      </c>
      <c r="E57" s="112" t="n">
        <v>1104.18</v>
      </c>
      <c r="F57" s="113" t="n">
        <v>20</v>
      </c>
      <c r="G57" s="114" t="n"/>
      <c r="H57" s="115">
        <f>F57</f>
        <v/>
      </c>
      <c r="I57" s="116">
        <f>ROUND(F57*E57,0)</f>
        <v/>
      </c>
      <c r="J57" s="116" t="n">
        <v>0</v>
      </c>
      <c r="K57" s="116">
        <f>I57+J57</f>
        <v/>
      </c>
      <c r="L57" s="116">
        <f>ROUND($L$4*F57,0)</f>
        <v/>
      </c>
      <c r="M57" s="117">
        <f>ROUND($L57*5%,0)</f>
        <v/>
      </c>
      <c r="N57" s="116">
        <f>K57-L57-M57</f>
        <v/>
      </c>
      <c r="O57" s="116">
        <f>N57+M57+L57</f>
        <v/>
      </c>
      <c r="P57" s="117">
        <f>ROUND(L57*12%,0)</f>
        <v/>
      </c>
      <c r="Q57" s="117">
        <f>IF(O57&lt;=7500,0,IF(O57&lt;=10000,175,200))</f>
        <v/>
      </c>
      <c r="R57" s="117">
        <f>ROUND(O57*0.75%,0)</f>
        <v/>
      </c>
      <c r="S57" s="117" t="n"/>
      <c r="T57" s="111" t="n"/>
      <c r="U57" s="118" t="n"/>
      <c r="V57" s="118" t="n"/>
      <c r="W57" s="111" t="n"/>
      <c r="X57" s="117">
        <f>SUM(P57:W57)</f>
        <v/>
      </c>
      <c r="Y57" s="119">
        <f>O57-X57</f>
        <v/>
      </c>
      <c r="Z57" s="120" t="n">
        <v>500</v>
      </c>
      <c r="AA57" s="119">
        <f>Y57-Z57</f>
        <v/>
      </c>
    </row>
    <row r="58" customFormat="1" s="20">
      <c r="A58" s="108" t="n">
        <v>47</v>
      </c>
      <c r="B58" s="109" t="n">
        <v>101492178974</v>
      </c>
      <c r="C58" s="110" t="n">
        <v>3311090288</v>
      </c>
      <c r="D58" s="111" t="inlineStr">
        <is>
          <t>REVANASIDDH SHIVAPPA ISHWARKATTI</t>
        </is>
      </c>
      <c r="E58" s="112" t="n">
        <v>815.5599999999999</v>
      </c>
      <c r="F58" s="113" t="n">
        <v>26</v>
      </c>
      <c r="G58" s="114" t="n"/>
      <c r="H58" s="115">
        <f>F58</f>
        <v/>
      </c>
      <c r="I58" s="116">
        <f>ROUND(F58*E58,0)</f>
        <v/>
      </c>
      <c r="J58" s="116" t="n">
        <v>0</v>
      </c>
      <c r="K58" s="116">
        <f>I58+J58</f>
        <v/>
      </c>
      <c r="L58" s="116">
        <f>ROUND($L$4*F58,0)</f>
        <v/>
      </c>
      <c r="M58" s="117">
        <f>ROUND($L58*5%,0)</f>
        <v/>
      </c>
      <c r="N58" s="116">
        <f>K58-L58-M58</f>
        <v/>
      </c>
      <c r="O58" s="116">
        <f>N58+M58+L58</f>
        <v/>
      </c>
      <c r="P58" s="117">
        <f>ROUND(L58*12%,0)</f>
        <v/>
      </c>
      <c r="Q58" s="117">
        <f>IF(O58&lt;=7500,0,IF(O58&lt;=10000,175,200))</f>
        <v/>
      </c>
      <c r="R58" s="117">
        <f>ROUND(O58*0.75%,0)</f>
        <v/>
      </c>
      <c r="S58" s="117" t="n"/>
      <c r="T58" s="111" t="n"/>
      <c r="U58" s="118" t="n"/>
      <c r="V58" s="118" t="n"/>
      <c r="W58" s="111" t="n"/>
      <c r="X58" s="117">
        <f>SUM(P58:W58)</f>
        <v/>
      </c>
      <c r="Y58" s="119">
        <f>O58-X58</f>
        <v/>
      </c>
      <c r="Z58" s="120" t="n">
        <v>500</v>
      </c>
      <c r="AA58" s="119">
        <f>Y58-Z58</f>
        <v/>
      </c>
    </row>
    <row r="59" customFormat="1" s="20">
      <c r="A59" s="108" t="n">
        <v>48</v>
      </c>
      <c r="B59" s="109" t="n">
        <v>102043325341</v>
      </c>
      <c r="C59" s="110" t="n">
        <v>3316063261</v>
      </c>
      <c r="D59" s="111" t="inlineStr">
        <is>
          <t>SAGAR PATIL</t>
        </is>
      </c>
      <c r="E59" s="112" t="n">
        <v>947.08</v>
      </c>
      <c r="F59" s="113" t="n">
        <v>24</v>
      </c>
      <c r="G59" s="114" t="n">
        <v>6</v>
      </c>
      <c r="H59" s="115">
        <f>F59+G59</f>
        <v/>
      </c>
      <c r="I59" s="116">
        <f>ROUND(F59*E59,0)</f>
        <v/>
      </c>
      <c r="J59" s="116">
        <f>ROUND(E59*G59,0)</f>
        <v/>
      </c>
      <c r="K59" s="116">
        <f>I59+J59</f>
        <v/>
      </c>
      <c r="L59" s="116">
        <f>ROUND($L$4*F59,0)</f>
        <v/>
      </c>
      <c r="M59" s="117">
        <f>ROUND($L59*5%,0)</f>
        <v/>
      </c>
      <c r="N59" s="116">
        <f>K59-L59-M59</f>
        <v/>
      </c>
      <c r="O59" s="116">
        <f>N59+M59+L59</f>
        <v/>
      </c>
      <c r="P59" s="117">
        <f>ROUND(L59*12%,0)</f>
        <v/>
      </c>
      <c r="Q59" s="117">
        <f>IF(O59&lt;=7500,0,IF(O59&lt;=10000,175,200))</f>
        <v/>
      </c>
      <c r="R59" s="117">
        <f>ROUND(O59*0.75%,0)</f>
        <v/>
      </c>
      <c r="S59" s="117" t="n"/>
      <c r="T59" s="111" t="n"/>
      <c r="U59" s="118" t="n"/>
      <c r="V59" s="118" t="n"/>
      <c r="W59" s="111" t="n"/>
      <c r="X59" s="117">
        <f>SUM(P59:W59)</f>
        <v/>
      </c>
      <c r="Y59" s="119">
        <f>O59-X59</f>
        <v/>
      </c>
      <c r="Z59" s="120" t="n">
        <v>500</v>
      </c>
      <c r="AA59" s="119">
        <f>Y59-Z59</f>
        <v/>
      </c>
    </row>
    <row r="60" customFormat="1" s="20">
      <c r="A60" s="108" t="n">
        <v>49</v>
      </c>
      <c r="B60" s="109" t="n">
        <v>101821692693</v>
      </c>
      <c r="C60" s="110" t="n">
        <v>3313965630</v>
      </c>
      <c r="D60" s="111" t="inlineStr">
        <is>
          <t>SAGAR B ARJUN</t>
        </is>
      </c>
      <c r="E60" s="112" t="n">
        <v>1020.83</v>
      </c>
      <c r="F60" s="113" t="n">
        <v>21</v>
      </c>
      <c r="G60" s="114" t="n">
        <v>5</v>
      </c>
      <c r="H60" s="115">
        <f>F60+G60</f>
        <v/>
      </c>
      <c r="I60" s="116">
        <f>ROUND(F60*E60,0)</f>
        <v/>
      </c>
      <c r="J60" s="116">
        <f>ROUND(E60*G60,0)</f>
        <v/>
      </c>
      <c r="K60" s="116">
        <f>I60+J60</f>
        <v/>
      </c>
      <c r="L60" s="116">
        <f>ROUND($L$4*F60,0)</f>
        <v/>
      </c>
      <c r="M60" s="117">
        <f>ROUND($L60*5%,0)</f>
        <v/>
      </c>
      <c r="N60" s="116">
        <f>K60-L60-M60</f>
        <v/>
      </c>
      <c r="O60" s="116">
        <f>N60+M60+L60</f>
        <v/>
      </c>
      <c r="P60" s="117">
        <f>ROUND(L60*12%,0)</f>
        <v/>
      </c>
      <c r="Q60" s="117">
        <f>IF(O60&lt;=7500,0,IF(O60&lt;=10000,175,200))</f>
        <v/>
      </c>
      <c r="R60" s="117">
        <f>ROUND(O60*0.75%,0)</f>
        <v/>
      </c>
      <c r="S60" s="117" t="n"/>
      <c r="T60" s="111" t="n"/>
      <c r="U60" s="118" t="n"/>
      <c r="V60" s="118" t="n"/>
      <c r="W60" s="111" t="n"/>
      <c r="X60" s="117">
        <f>SUM(P60:W60)</f>
        <v/>
      </c>
      <c r="Y60" s="119">
        <f>O60-X60</f>
        <v/>
      </c>
      <c r="Z60" s="120" t="n">
        <v>500</v>
      </c>
      <c r="AA60" s="119">
        <f>Y60-Z60</f>
        <v/>
      </c>
    </row>
    <row r="61" customFormat="1" s="55">
      <c r="A61" s="108" t="n">
        <v>50</v>
      </c>
      <c r="B61" s="109" t="n">
        <v>101591620411</v>
      </c>
      <c r="C61" s="110" t="n">
        <v>3313948482</v>
      </c>
      <c r="D61" s="111" t="inlineStr">
        <is>
          <t>SAGAR M KOLI</t>
        </is>
      </c>
      <c r="E61" s="112" t="n">
        <v>946.91</v>
      </c>
      <c r="F61" s="113" t="n">
        <v>23</v>
      </c>
      <c r="G61" s="114" t="n">
        <v>6</v>
      </c>
      <c r="H61" s="115">
        <f>F61+G61</f>
        <v/>
      </c>
      <c r="I61" s="116">
        <f>ROUND(F61*E61,0)</f>
        <v/>
      </c>
      <c r="J61" s="116">
        <f>ROUND(E61*G61,0)</f>
        <v/>
      </c>
      <c r="K61" s="116">
        <f>I61+J61</f>
        <v/>
      </c>
      <c r="L61" s="116">
        <f>ROUND($L$4*F61,0)</f>
        <v/>
      </c>
      <c r="M61" s="117">
        <f>ROUND($L61*5%,0)</f>
        <v/>
      </c>
      <c r="N61" s="116">
        <f>K61-L61-M61</f>
        <v/>
      </c>
      <c r="O61" s="116">
        <f>N61+M61+L61</f>
        <v/>
      </c>
      <c r="P61" s="117">
        <f>ROUND(L61*12%,0)</f>
        <v/>
      </c>
      <c r="Q61" s="117">
        <f>IF(O61&lt;=7500,0,IF(O61&lt;=10000,175,200))</f>
        <v/>
      </c>
      <c r="R61" s="117">
        <f>ROUND(O61*0.75%,0)</f>
        <v/>
      </c>
      <c r="S61" s="117" t="n"/>
      <c r="T61" s="111" t="n"/>
      <c r="U61" s="118" t="n"/>
      <c r="V61" s="118" t="n"/>
      <c r="W61" s="111" t="n"/>
      <c r="X61" s="117">
        <f>SUM(P61:W61)</f>
        <v/>
      </c>
      <c r="Y61" s="119">
        <f>O61-X61</f>
        <v/>
      </c>
      <c r="Z61" s="120" t="n">
        <v>500</v>
      </c>
      <c r="AA61" s="119">
        <f>Y61-Z61</f>
        <v/>
      </c>
    </row>
    <row r="62" customFormat="1" s="55">
      <c r="A62" s="108" t="n">
        <v>51</v>
      </c>
      <c r="B62" s="109" t="n">
        <v>101154454730</v>
      </c>
      <c r="C62" s="110" t="n">
        <v>3308695163</v>
      </c>
      <c r="D62" s="111" t="inlineStr">
        <is>
          <t>SAGAR R GHARSANGE</t>
        </is>
      </c>
      <c r="E62" s="112" t="n">
        <v>967.97</v>
      </c>
      <c r="F62" s="113" t="n">
        <v>21</v>
      </c>
      <c r="G62" s="114" t="n"/>
      <c r="H62" s="115">
        <f>F62</f>
        <v/>
      </c>
      <c r="I62" s="116">
        <f>ROUND(F62*E62,0)</f>
        <v/>
      </c>
      <c r="J62" s="116" t="n">
        <v>0</v>
      </c>
      <c r="K62" s="116">
        <f>I62+J62</f>
        <v/>
      </c>
      <c r="L62" s="116">
        <f>ROUND($L$4*F62,0)</f>
        <v/>
      </c>
      <c r="M62" s="117">
        <f>ROUND($L62*5%,0)</f>
        <v/>
      </c>
      <c r="N62" s="116">
        <f>K62-L62-M62</f>
        <v/>
      </c>
      <c r="O62" s="116">
        <f>N62+M62+L62</f>
        <v/>
      </c>
      <c r="P62" s="117">
        <f>ROUND(L62*12%,0)</f>
        <v/>
      </c>
      <c r="Q62" s="117">
        <f>IF(O62&lt;=7500,0,IF(O62&lt;=10000,175,200))</f>
        <v/>
      </c>
      <c r="R62" s="117">
        <f>ROUND(O62*0.75%,0)</f>
        <v/>
      </c>
      <c r="S62" s="117" t="n"/>
      <c r="T62" s="111" t="n"/>
      <c r="U62" s="118" t="n"/>
      <c r="V62" s="118" t="n"/>
      <c r="W62" s="111" t="n"/>
      <c r="X62" s="117">
        <f>SUM(P62:W62)</f>
        <v/>
      </c>
      <c r="Y62" s="119">
        <f>O62-X62</f>
        <v/>
      </c>
      <c r="Z62" s="120" t="n">
        <v>500</v>
      </c>
      <c r="AA62" s="119">
        <f>Y62-Z62</f>
        <v/>
      </c>
    </row>
    <row r="63" customFormat="1" s="55">
      <c r="A63" s="108" t="n">
        <v>52</v>
      </c>
      <c r="B63" s="109" t="n">
        <v>101960331774</v>
      </c>
      <c r="C63" s="110" t="n">
        <v>3315285018</v>
      </c>
      <c r="D63" s="111" t="inlineStr">
        <is>
          <t>SAMART DHAVANDE</t>
        </is>
      </c>
      <c r="E63" s="112" t="n">
        <v>663.65</v>
      </c>
      <c r="F63" s="113" t="n">
        <v>26</v>
      </c>
      <c r="G63" s="114" t="n"/>
      <c r="H63" s="115">
        <f>F63</f>
        <v/>
      </c>
      <c r="I63" s="116">
        <f>ROUND(F63*E63,0)</f>
        <v/>
      </c>
      <c r="J63" s="116" t="n">
        <v>0</v>
      </c>
      <c r="K63" s="116">
        <f>I63+J63</f>
        <v/>
      </c>
      <c r="L63" s="116">
        <f>ROUND($L$4*F63,0)</f>
        <v/>
      </c>
      <c r="M63" s="117">
        <f>ROUND($L63*5%,0)</f>
        <v/>
      </c>
      <c r="N63" s="116">
        <f>K63-L63-M63</f>
        <v/>
      </c>
      <c r="O63" s="116">
        <f>N63+M63+L63</f>
        <v/>
      </c>
      <c r="P63" s="117">
        <f>ROUND(L63*12%,0)</f>
        <v/>
      </c>
      <c r="Q63" s="117">
        <f>IF(O63&lt;=7500,0,IF(O63&lt;=10000,175,200))</f>
        <v/>
      </c>
      <c r="R63" s="117">
        <f>ROUND(O63*0.75%,0)</f>
        <v/>
      </c>
      <c r="S63" s="117" t="n"/>
      <c r="T63" s="111" t="n"/>
      <c r="U63" s="118" t="n"/>
      <c r="V63" s="118" t="n"/>
      <c r="W63" s="111" t="n"/>
      <c r="X63" s="117">
        <f>SUM(P63:W63)</f>
        <v/>
      </c>
      <c r="Y63" s="119">
        <f>O63-X63</f>
        <v/>
      </c>
      <c r="Z63" s="120" t="n">
        <v>500</v>
      </c>
      <c r="AA63" s="119">
        <f>Y63-Z63</f>
        <v/>
      </c>
    </row>
    <row r="64" customFormat="1" s="55">
      <c r="A64" s="108" t="n">
        <v>53</v>
      </c>
      <c r="B64" s="109" t="n">
        <v>101540070377</v>
      </c>
      <c r="C64" s="110" t="n">
        <v>3311838965</v>
      </c>
      <c r="D64" s="111" t="inlineStr">
        <is>
          <t>Mr.SANTOSH LAXMAN KOLI</t>
        </is>
      </c>
      <c r="E64" s="112" t="n">
        <v>1192.22</v>
      </c>
      <c r="F64" s="113" t="n">
        <v>18</v>
      </c>
      <c r="G64" s="114" t="n"/>
      <c r="H64" s="115">
        <f>F64</f>
        <v/>
      </c>
      <c r="I64" s="116">
        <f>ROUND(F64*E64,0)</f>
        <v/>
      </c>
      <c r="J64" s="116" t="n">
        <v>0</v>
      </c>
      <c r="K64" s="116">
        <f>I64+J64</f>
        <v/>
      </c>
      <c r="L64" s="116">
        <f>ROUND($L$4*F64,0)</f>
        <v/>
      </c>
      <c r="M64" s="117">
        <f>ROUND($L64*5%,0)</f>
        <v/>
      </c>
      <c r="N64" s="116">
        <f>K64-L64-M64</f>
        <v/>
      </c>
      <c r="O64" s="116">
        <f>N64+M64+L64</f>
        <v/>
      </c>
      <c r="P64" s="117">
        <f>ROUND(L64*12%,0)</f>
        <v/>
      </c>
      <c r="Q64" s="117">
        <f>IF(O64&lt;=7500,0,IF(O64&lt;=10000,175,200))</f>
        <v/>
      </c>
      <c r="R64" s="117">
        <f>ROUND(O64*0.75%,0)</f>
        <v/>
      </c>
      <c r="S64" s="117" t="n"/>
      <c r="T64" s="111" t="n"/>
      <c r="U64" s="118" t="n"/>
      <c r="V64" s="118" t="n"/>
      <c r="W64" s="111" t="n"/>
      <c r="X64" s="117">
        <f>SUM(P64:W64)</f>
        <v/>
      </c>
      <c r="Y64" s="119">
        <f>O64-X64</f>
        <v/>
      </c>
      <c r="Z64" s="120" t="n">
        <v>500</v>
      </c>
      <c r="AA64" s="119">
        <f>Y64-Z64</f>
        <v/>
      </c>
    </row>
    <row r="65" customFormat="1" s="55">
      <c r="A65" s="108" t="n">
        <v>54</v>
      </c>
      <c r="B65" s="109" t="n">
        <v>101475170616</v>
      </c>
      <c r="C65" s="110" t="n">
        <v>3310906192</v>
      </c>
      <c r="D65" s="111" t="inlineStr">
        <is>
          <t>SATISH SHIVAJI SHINDE</t>
        </is>
      </c>
      <c r="E65" s="112" t="n">
        <v>1532.75</v>
      </c>
      <c r="F65" s="113" t="n">
        <v>18</v>
      </c>
      <c r="G65" s="114" t="n"/>
      <c r="H65" s="115">
        <f>F65</f>
        <v/>
      </c>
      <c r="I65" s="116">
        <f>ROUND(F65*E65,0)</f>
        <v/>
      </c>
      <c r="J65" s="116" t="n">
        <v>0</v>
      </c>
      <c r="K65" s="116">
        <f>I65+J65</f>
        <v/>
      </c>
      <c r="L65" s="116">
        <f>ROUND($L$4*F65,0)</f>
        <v/>
      </c>
      <c r="M65" s="117">
        <f>ROUND($L65*5%,0)</f>
        <v/>
      </c>
      <c r="N65" s="116">
        <f>K65-L65-M65</f>
        <v/>
      </c>
      <c r="O65" s="116">
        <f>N65+M65+L65</f>
        <v/>
      </c>
      <c r="P65" s="117">
        <f>ROUND(L65*12%,0)</f>
        <v/>
      </c>
      <c r="Q65" s="117">
        <f>IF(O65&lt;=7500,0,IF(O65&lt;=10000,175,200))</f>
        <v/>
      </c>
      <c r="R65" s="117">
        <f>ROUND(O65*0.75%,0)</f>
        <v/>
      </c>
      <c r="S65" s="117" t="n"/>
      <c r="T65" s="111" t="n"/>
      <c r="U65" s="118" t="n"/>
      <c r="V65" s="118" t="n"/>
      <c r="W65" s="111" t="n"/>
      <c r="X65" s="117">
        <f>SUM(P65:W65)</f>
        <v/>
      </c>
      <c r="Y65" s="119">
        <f>O65-X65</f>
        <v/>
      </c>
      <c r="Z65" s="120" t="n">
        <v>500</v>
      </c>
      <c r="AA65" s="119">
        <f>Y65-Z65</f>
        <v/>
      </c>
    </row>
    <row r="66" customFormat="1" s="55">
      <c r="A66" s="108" t="n">
        <v>55</v>
      </c>
      <c r="B66" s="109" t="n">
        <v>101396804599</v>
      </c>
      <c r="C66" s="110" t="n">
        <v>3315708668</v>
      </c>
      <c r="D66" s="111" t="inlineStr">
        <is>
          <t>SHARNAPPA KHEDAGILAR</t>
        </is>
      </c>
      <c r="E66" s="112" t="n">
        <v>779.22</v>
      </c>
      <c r="F66" s="113" t="n">
        <v>23</v>
      </c>
      <c r="G66" s="114" t="n"/>
      <c r="H66" s="115">
        <f>F66</f>
        <v/>
      </c>
      <c r="I66" s="116">
        <f>ROUND(F66*E66,0)</f>
        <v/>
      </c>
      <c r="J66" s="116" t="n">
        <v>0</v>
      </c>
      <c r="K66" s="116">
        <f>I66+J66</f>
        <v/>
      </c>
      <c r="L66" s="116">
        <f>ROUND($L$4*F66,0)</f>
        <v/>
      </c>
      <c r="M66" s="117">
        <f>ROUND($L66*5%,0)</f>
        <v/>
      </c>
      <c r="N66" s="116">
        <f>K66-L66-M66</f>
        <v/>
      </c>
      <c r="O66" s="116">
        <f>N66+M66+L66</f>
        <v/>
      </c>
      <c r="P66" s="117">
        <f>ROUND(L66*12%,0)</f>
        <v/>
      </c>
      <c r="Q66" s="117">
        <f>IF(O66&lt;=7500,0,IF(O66&lt;=10000,175,200))</f>
        <v/>
      </c>
      <c r="R66" s="117">
        <f>ROUND(O66*0.75%,0)</f>
        <v/>
      </c>
      <c r="S66" s="117" t="n"/>
      <c r="T66" s="111" t="n"/>
      <c r="U66" s="118" t="n"/>
      <c r="V66" s="118" t="n"/>
      <c r="W66" s="111" t="n"/>
      <c r="X66" s="117">
        <f>SUM(P66:W66)</f>
        <v/>
      </c>
      <c r="Y66" s="119">
        <f>O66-X66</f>
        <v/>
      </c>
      <c r="Z66" s="120" t="n">
        <v>500</v>
      </c>
      <c r="AA66" s="119">
        <f>Y66-Z66</f>
        <v/>
      </c>
    </row>
    <row r="67" customFormat="1" s="55">
      <c r="A67" s="108" t="n">
        <v>56</v>
      </c>
      <c r="B67" s="109" t="n">
        <v>101817173110</v>
      </c>
      <c r="C67" s="110" t="n">
        <v>3315929520</v>
      </c>
      <c r="D67" s="111" t="inlineStr">
        <is>
          <t>SHIVANAND KANTAPPA KOSHTI</t>
        </is>
      </c>
      <c r="E67" s="112" t="n">
        <v>969.62</v>
      </c>
      <c r="F67" s="113" t="n">
        <v>22</v>
      </c>
      <c r="G67" s="114" t="n">
        <v>3</v>
      </c>
      <c r="H67" s="115">
        <f>F67+G67</f>
        <v/>
      </c>
      <c r="I67" s="116">
        <f>ROUND(F67*E67,0)</f>
        <v/>
      </c>
      <c r="J67" s="116">
        <f>ROUND(E67*G67,0)</f>
        <v/>
      </c>
      <c r="K67" s="116">
        <f>I67+J67</f>
        <v/>
      </c>
      <c r="L67" s="116">
        <f>ROUND($L$4*F67,0)</f>
        <v/>
      </c>
      <c r="M67" s="117">
        <f>ROUND($L67*5%,0)</f>
        <v/>
      </c>
      <c r="N67" s="116">
        <f>K67-L67-M67</f>
        <v/>
      </c>
      <c r="O67" s="116">
        <f>N67+M67+L67</f>
        <v/>
      </c>
      <c r="P67" s="117">
        <f>ROUND(L67*12%,0)</f>
        <v/>
      </c>
      <c r="Q67" s="117">
        <f>IF(O67&lt;=7500,0,IF(O67&lt;=10000,175,200))</f>
        <v/>
      </c>
      <c r="R67" s="117">
        <f>ROUND(O67*0.75%,0)</f>
        <v/>
      </c>
      <c r="S67" s="117" t="n"/>
      <c r="T67" s="111" t="n"/>
      <c r="U67" s="118" t="n"/>
      <c r="V67" s="118" t="n"/>
      <c r="W67" s="111" t="n"/>
      <c r="X67" s="117">
        <f>SUM(P67:W67)</f>
        <v/>
      </c>
      <c r="Y67" s="119">
        <f>O67-X67</f>
        <v/>
      </c>
      <c r="Z67" s="120" t="n">
        <v>500</v>
      </c>
      <c r="AA67" s="119">
        <f>Y67-Z67</f>
        <v/>
      </c>
    </row>
    <row r="68" customFormat="1" s="55">
      <c r="A68" s="108" t="n">
        <v>57</v>
      </c>
      <c r="B68" s="109" t="n">
        <v>101909060608</v>
      </c>
      <c r="C68" s="110" t="n">
        <v>3314771015</v>
      </c>
      <c r="D68" s="111" t="inlineStr">
        <is>
          <t>SOHIL JAMADAR</t>
        </is>
      </c>
      <c r="E68" s="112" t="n">
        <v>777.73</v>
      </c>
      <c r="F68" s="113" t="n">
        <v>25</v>
      </c>
      <c r="G68" s="114" t="n"/>
      <c r="H68" s="115">
        <f>F68</f>
        <v/>
      </c>
      <c r="I68" s="116">
        <f>ROUND(F68*E68,0)</f>
        <v/>
      </c>
      <c r="J68" s="116" t="n">
        <v>0</v>
      </c>
      <c r="K68" s="116">
        <f>I68+J68</f>
        <v/>
      </c>
      <c r="L68" s="116">
        <f>ROUND($L$4*F68,0)</f>
        <v/>
      </c>
      <c r="M68" s="117">
        <f>ROUND($L68*5%,0)</f>
        <v/>
      </c>
      <c r="N68" s="116">
        <f>K68-L68-M68</f>
        <v/>
      </c>
      <c r="O68" s="116">
        <f>N68+M68+L68</f>
        <v/>
      </c>
      <c r="P68" s="117">
        <f>ROUND(L68*12%,0)</f>
        <v/>
      </c>
      <c r="Q68" s="117">
        <f>IF(O68&lt;=7500,0,IF(O68&lt;=10000,175,200))</f>
        <v/>
      </c>
      <c r="R68" s="117">
        <f>ROUND(O68*0.75%,0)</f>
        <v/>
      </c>
      <c r="S68" s="117" t="n"/>
      <c r="T68" s="111" t="n"/>
      <c r="U68" s="118" t="n"/>
      <c r="V68" s="118" t="n"/>
      <c r="W68" s="111" t="n"/>
      <c r="X68" s="117">
        <f>SUM(P68:W68)</f>
        <v/>
      </c>
      <c r="Y68" s="119">
        <f>O68-X68</f>
        <v/>
      </c>
      <c r="Z68" s="120" t="n">
        <v>500</v>
      </c>
      <c r="AA68" s="119">
        <f>Y68-Z68</f>
        <v/>
      </c>
    </row>
    <row r="69" customFormat="1" s="55">
      <c r="A69" s="108" t="n">
        <v>58</v>
      </c>
      <c r="B69" s="109" t="n">
        <v>102067179570</v>
      </c>
      <c r="C69" s="110" t="n">
        <v>3316330556</v>
      </c>
      <c r="D69" s="111" t="inlineStr">
        <is>
          <t>SONAWANE NAGNATH KASHINATH</t>
        </is>
      </c>
      <c r="E69" s="112" t="n">
        <v>674.5</v>
      </c>
      <c r="F69" s="113" t="n">
        <v>24</v>
      </c>
      <c r="G69" s="114" t="n"/>
      <c r="H69" s="115">
        <f>F69</f>
        <v/>
      </c>
      <c r="I69" s="116">
        <f>ROUND(F69*E69,0)</f>
        <v/>
      </c>
      <c r="J69" s="116" t="n">
        <v>0</v>
      </c>
      <c r="K69" s="116">
        <f>I69+J69</f>
        <v/>
      </c>
      <c r="L69" s="116">
        <f>ROUND($L$4*F69,0)</f>
        <v/>
      </c>
      <c r="M69" s="117">
        <f>ROUND($L69*5%,0)</f>
        <v/>
      </c>
      <c r="N69" s="116">
        <f>K69-L69-M69</f>
        <v/>
      </c>
      <c r="O69" s="116">
        <f>N69+M69+L69</f>
        <v/>
      </c>
      <c r="P69" s="117">
        <f>ROUND(L69*12%,0)</f>
        <v/>
      </c>
      <c r="Q69" s="117">
        <f>IF(O69&lt;=7500,0,IF(O69&lt;=10000,175,200))</f>
        <v/>
      </c>
      <c r="R69" s="117">
        <f>ROUND(O69*0.75%,0)</f>
        <v/>
      </c>
      <c r="S69" s="117" t="n"/>
      <c r="T69" s="111" t="n"/>
      <c r="U69" s="118" t="n"/>
      <c r="V69" s="118" t="n"/>
      <c r="W69" s="111" t="n"/>
      <c r="X69" s="117">
        <f>SUM(P69:W69)</f>
        <v/>
      </c>
      <c r="Y69" s="119">
        <f>O69-X69</f>
        <v/>
      </c>
      <c r="Z69" s="120" t="n">
        <v>500</v>
      </c>
      <c r="AA69" s="119">
        <f>Y69-Z69</f>
        <v/>
      </c>
    </row>
    <row r="70" customFormat="1" s="55">
      <c r="A70" s="108" t="n">
        <v>59</v>
      </c>
      <c r="B70" s="109" t="n">
        <v>102086487131</v>
      </c>
      <c r="C70" s="110" t="n">
        <v>3316548526</v>
      </c>
      <c r="D70" s="111" t="inlineStr">
        <is>
          <t>SUDHAKAR BHIMASHANKAR KOGANURE</t>
        </is>
      </c>
      <c r="E70" s="112" t="n">
        <v>835.25</v>
      </c>
      <c r="F70" s="113" t="n">
        <v>24</v>
      </c>
      <c r="G70" s="114" t="n"/>
      <c r="H70" s="115">
        <f>F70</f>
        <v/>
      </c>
      <c r="I70" s="116">
        <f>ROUND(F70*E70,0)</f>
        <v/>
      </c>
      <c r="J70" s="116" t="n">
        <v>0</v>
      </c>
      <c r="K70" s="116">
        <f>I70+J70</f>
        <v/>
      </c>
      <c r="L70" s="116">
        <f>ROUND($L$4*F70,0)</f>
        <v/>
      </c>
      <c r="M70" s="117">
        <f>ROUND($L70*5%,0)</f>
        <v/>
      </c>
      <c r="N70" s="116">
        <f>K70-L70-M70</f>
        <v/>
      </c>
      <c r="O70" s="116">
        <f>N70+M70+L70</f>
        <v/>
      </c>
      <c r="P70" s="117">
        <f>ROUND(L70*12%,0)</f>
        <v/>
      </c>
      <c r="Q70" s="117">
        <f>IF(O70&lt;=7500,0,IF(O70&lt;=10000,175,200))</f>
        <v/>
      </c>
      <c r="R70" s="117">
        <f>ROUND(O70*0.75%,0)</f>
        <v/>
      </c>
      <c r="S70" s="117" t="n"/>
      <c r="T70" s="111" t="n"/>
      <c r="U70" s="118" t="n"/>
      <c r="V70" s="118" t="n"/>
      <c r="W70" s="111" t="n"/>
      <c r="X70" s="117">
        <f>SUM(P70:W70)</f>
        <v/>
      </c>
      <c r="Y70" s="119">
        <f>O70-X70</f>
        <v/>
      </c>
      <c r="Z70" s="120" t="n">
        <v>500</v>
      </c>
      <c r="AA70" s="119">
        <f>Y70-Z70</f>
        <v/>
      </c>
    </row>
    <row r="71" customFormat="1" s="55">
      <c r="A71" s="108" t="n">
        <v>60</v>
      </c>
      <c r="B71" s="109" t="n">
        <v>101944505682</v>
      </c>
      <c r="C71" s="110" t="n">
        <v>3315530821</v>
      </c>
      <c r="D71" s="111" t="inlineStr">
        <is>
          <t>VIJAY BHARALE</t>
        </is>
      </c>
      <c r="E71" s="112" t="n">
        <v>912.28</v>
      </c>
      <c r="F71" s="113" t="n">
        <v>25</v>
      </c>
      <c r="G71" s="114" t="n">
        <v>2</v>
      </c>
      <c r="H71" s="115">
        <f>F71+G71</f>
        <v/>
      </c>
      <c r="I71" s="116">
        <f>ROUND(F71*E71,0)</f>
        <v/>
      </c>
      <c r="J71" s="116">
        <f>ROUND(E71*G71,0)</f>
        <v/>
      </c>
      <c r="K71" s="116">
        <f>I71+J71</f>
        <v/>
      </c>
      <c r="L71" s="116">
        <f>ROUND($L$4*F71,0)</f>
        <v/>
      </c>
      <c r="M71" s="117">
        <f>ROUND($L71*5%,0)</f>
        <v/>
      </c>
      <c r="N71" s="116">
        <f>K71-L71-M71</f>
        <v/>
      </c>
      <c r="O71" s="116">
        <f>N71+M71+L71</f>
        <v/>
      </c>
      <c r="P71" s="117">
        <f>ROUND(L71*12%,0)</f>
        <v/>
      </c>
      <c r="Q71" s="117">
        <f>IF(O71&lt;=7500,0,IF(O71&lt;=10000,175,200))</f>
        <v/>
      </c>
      <c r="R71" s="117">
        <f>ROUND(O71*0.75%,0)</f>
        <v/>
      </c>
      <c r="S71" s="117" t="n"/>
      <c r="T71" s="111" t="n"/>
      <c r="U71" s="118" t="n"/>
      <c r="V71" s="118" t="n"/>
      <c r="W71" s="111" t="n"/>
      <c r="X71" s="117">
        <f>SUM(P71:W71)</f>
        <v/>
      </c>
      <c r="Y71" s="119">
        <f>O71-X71</f>
        <v/>
      </c>
      <c r="Z71" s="120" t="n">
        <v>500</v>
      </c>
      <c r="AA71" s="119">
        <f>Y71-Z71</f>
        <v/>
      </c>
    </row>
    <row r="72" customFormat="1" s="55">
      <c r="A72" s="108" t="n">
        <v>61</v>
      </c>
      <c r="B72" s="109" t="n">
        <v>101424675655</v>
      </c>
      <c r="C72" s="110" t="n">
        <v>3311838973</v>
      </c>
      <c r="D72" s="111" t="inlineStr">
        <is>
          <t>Mr.VIJAY MANE</t>
        </is>
      </c>
      <c r="E72" s="112" t="n">
        <v>1181.84</v>
      </c>
      <c r="F72" s="113" t="n">
        <v>19</v>
      </c>
      <c r="G72" s="114" t="n"/>
      <c r="H72" s="115">
        <f>F72</f>
        <v/>
      </c>
      <c r="I72" s="116">
        <f>ROUND(F72*E72,0)</f>
        <v/>
      </c>
      <c r="J72" s="116" t="n">
        <v>0</v>
      </c>
      <c r="K72" s="116">
        <f>I72+J72</f>
        <v/>
      </c>
      <c r="L72" s="116">
        <f>ROUND($L$4*F72,0)</f>
        <v/>
      </c>
      <c r="M72" s="117">
        <f>ROUND($L72*5%,0)</f>
        <v/>
      </c>
      <c r="N72" s="116">
        <f>K72-L72-M72</f>
        <v/>
      </c>
      <c r="O72" s="116">
        <f>N72+M72+L72</f>
        <v/>
      </c>
      <c r="P72" s="117">
        <f>ROUND(L72*12%,0)</f>
        <v/>
      </c>
      <c r="Q72" s="117">
        <f>IF(O72&lt;=7500,0,IF(O72&lt;=10000,175,200))</f>
        <v/>
      </c>
      <c r="R72" s="117">
        <f>ROUND(O72*0.75%,0)</f>
        <v/>
      </c>
      <c r="S72" s="117" t="n"/>
      <c r="T72" s="111" t="n"/>
      <c r="U72" s="118" t="n"/>
      <c r="V72" s="118" t="n"/>
      <c r="W72" s="111" t="n"/>
      <c r="X72" s="117">
        <f>SUM(P72:W72)</f>
        <v/>
      </c>
      <c r="Y72" s="119">
        <f>O72-X72</f>
        <v/>
      </c>
      <c r="Z72" s="120" t="n">
        <v>500</v>
      </c>
      <c r="AA72" s="119">
        <f>Y72-Z72</f>
        <v/>
      </c>
    </row>
    <row r="73" customFormat="1" s="55">
      <c r="A73" s="108" t="n">
        <v>62</v>
      </c>
      <c r="B73" s="121" t="n">
        <v>101235372414</v>
      </c>
      <c r="C73" s="110" t="n">
        <v>3315883972</v>
      </c>
      <c r="D73" s="111" t="inlineStr">
        <is>
          <t>VISHAL MOHAN MANE</t>
        </is>
      </c>
      <c r="E73" s="112" t="n">
        <v>747.5700000000001</v>
      </c>
      <c r="F73" s="113" t="n">
        <v>23</v>
      </c>
      <c r="G73" s="114" t="n">
        <v>2</v>
      </c>
      <c r="H73" s="115">
        <f>F73+G73</f>
        <v/>
      </c>
      <c r="I73" s="116">
        <f>ROUND(F73*E73,0)</f>
        <v/>
      </c>
      <c r="J73" s="116">
        <f>ROUND(E73*G73,0)</f>
        <v/>
      </c>
      <c r="K73" s="116">
        <f>I73+J73</f>
        <v/>
      </c>
      <c r="L73" s="116">
        <f>ROUND($L$4*F73,0)</f>
        <v/>
      </c>
      <c r="M73" s="117">
        <f>ROUND($L73*5%,0)</f>
        <v/>
      </c>
      <c r="N73" s="116">
        <f>K73-L73-M73</f>
        <v/>
      </c>
      <c r="O73" s="116">
        <f>N73+M73+L73</f>
        <v/>
      </c>
      <c r="P73" s="117">
        <f>ROUND(L73*12%,0)</f>
        <v/>
      </c>
      <c r="Q73" s="117">
        <f>IF(O73&lt;=7500,0,IF(O73&lt;=10000,175,200))</f>
        <v/>
      </c>
      <c r="R73" s="117">
        <f>ROUND(O73*0.75%,0)</f>
        <v/>
      </c>
      <c r="S73" s="117" t="n"/>
      <c r="T73" s="111" t="n"/>
      <c r="U73" s="118" t="n"/>
      <c r="V73" s="118" t="n"/>
      <c r="W73" s="111" t="n"/>
      <c r="X73" s="117">
        <f>SUM(P73:W73)</f>
        <v/>
      </c>
      <c r="Y73" s="119">
        <f>O73-X73</f>
        <v/>
      </c>
      <c r="Z73" s="120" t="n">
        <v>500</v>
      </c>
      <c r="AA73" s="119">
        <f>Y73-Z73</f>
        <v/>
      </c>
    </row>
    <row r="74" customFormat="1" s="55">
      <c r="A74" s="108" t="n">
        <v>63</v>
      </c>
      <c r="B74" s="109" t="n">
        <v>101432431093</v>
      </c>
      <c r="C74" s="110" t="n">
        <v>3316592493</v>
      </c>
      <c r="D74" s="111" t="inlineStr">
        <is>
          <t xml:space="preserve">VISHAL  SURESH MANE </t>
        </is>
      </c>
      <c r="E74" s="112" t="n">
        <v>968.3200000000001</v>
      </c>
      <c r="F74" s="113" t="n">
        <v>21</v>
      </c>
      <c r="G74" s="114" t="n"/>
      <c r="H74" s="115">
        <f>F74</f>
        <v/>
      </c>
      <c r="I74" s="116">
        <f>ROUND(F74*E74,0)</f>
        <v/>
      </c>
      <c r="J74" s="116" t="n">
        <v>0</v>
      </c>
      <c r="K74" s="116">
        <f>I74+J74</f>
        <v/>
      </c>
      <c r="L74" s="116">
        <f>ROUND($L$4*F74,0)</f>
        <v/>
      </c>
      <c r="M74" s="117">
        <f>ROUND($L74*5%,0)</f>
        <v/>
      </c>
      <c r="N74" s="116">
        <f>K74-L74-M74</f>
        <v/>
      </c>
      <c r="O74" s="116">
        <f>N74+M74+L74</f>
        <v/>
      </c>
      <c r="P74" s="117">
        <f>ROUND(L74*12%,0)</f>
        <v/>
      </c>
      <c r="Q74" s="117">
        <f>IF(O74&lt;=7500,0,IF(O74&lt;=10000,175,200))</f>
        <v/>
      </c>
      <c r="R74" s="117">
        <f>ROUND(O74*0.75%,0)</f>
        <v/>
      </c>
      <c r="S74" s="117" t="n"/>
      <c r="T74" s="111" t="n"/>
      <c r="U74" s="118" t="n"/>
      <c r="V74" s="118" t="n"/>
      <c r="W74" s="111" t="n"/>
      <c r="X74" s="117">
        <f>SUM(P74:W74)</f>
        <v/>
      </c>
      <c r="Y74" s="119">
        <f>O74-X74</f>
        <v/>
      </c>
      <c r="Z74" s="120" t="n">
        <v>500</v>
      </c>
      <c r="AA74" s="119">
        <f>Y74-Z74</f>
        <v/>
      </c>
    </row>
    <row r="75" customFormat="1" s="70">
      <c r="A75" s="108" t="n"/>
      <c r="B75" s="123" t="n"/>
      <c r="C75" s="124" t="n"/>
      <c r="D75" s="125" t="inlineStr">
        <is>
          <t>TOTAL</t>
        </is>
      </c>
      <c r="E75" s="112" t="n"/>
      <c r="F75" s="126">
        <f>SUM(F12:F74)</f>
        <v/>
      </c>
      <c r="G75" s="126">
        <f>SUM(G12:G74)</f>
        <v/>
      </c>
      <c r="H75" s="127">
        <f>SUM(H12:H74)</f>
        <v/>
      </c>
      <c r="I75" s="127">
        <f>SUM(I12:I74)</f>
        <v/>
      </c>
      <c r="J75" s="127">
        <f>SUM(J12:J74)</f>
        <v/>
      </c>
      <c r="K75" s="127">
        <f>SUM(K12:K74)</f>
        <v/>
      </c>
      <c r="L75" s="127">
        <f>SUM(L12:L74)</f>
        <v/>
      </c>
      <c r="M75" s="127">
        <f>SUM(M12:M74)</f>
        <v/>
      </c>
      <c r="N75" s="127">
        <f>SUM(N12:N74)</f>
        <v/>
      </c>
      <c r="O75" s="127">
        <f>SUM(O12:O74)</f>
        <v/>
      </c>
      <c r="P75" s="127">
        <f>SUM(P12:P74)</f>
        <v/>
      </c>
      <c r="Q75" s="127">
        <f>SUM(Q12:Q74)</f>
        <v/>
      </c>
      <c r="R75" s="127">
        <f>SUM(R12:R74)</f>
        <v/>
      </c>
      <c r="S75" s="127" t="n"/>
      <c r="T75" s="126" t="n"/>
      <c r="U75" s="126" t="n"/>
      <c r="V75" s="126" t="n"/>
      <c r="W75" s="126" t="n"/>
      <c r="X75" s="127">
        <f>SUM(X12:X74)</f>
        <v/>
      </c>
      <c r="Y75" s="127">
        <f>SUM(Y12:Y74)</f>
        <v/>
      </c>
      <c r="Z75" s="126">
        <f>SUM(Z12:Z74)</f>
        <v/>
      </c>
      <c r="AA75" s="127">
        <f>SUM(AA12:AA74)</f>
        <v/>
      </c>
    </row>
    <row r="76" customFormat="1" s="55">
      <c r="A76" s="36" t="n"/>
      <c r="B76" s="56" t="n"/>
      <c r="C76" s="38" t="n"/>
      <c r="D76" s="39" t="n"/>
      <c r="E76" s="40" t="n"/>
      <c r="F76" s="41" t="n"/>
      <c r="G76" s="42" t="n"/>
      <c r="H76" s="128" t="n"/>
      <c r="I76" s="129" t="n"/>
      <c r="J76" s="129" t="n"/>
      <c r="K76" s="129" t="n"/>
      <c r="L76" s="129" t="n"/>
      <c r="M76" s="130" t="n"/>
      <c r="N76" s="129" t="n"/>
      <c r="O76" s="129" t="n"/>
      <c r="P76" s="130" t="n"/>
      <c r="Q76" s="130" t="n"/>
      <c r="R76" s="130" t="n"/>
      <c r="S76" s="130" t="n"/>
      <c r="T76" s="39" t="n"/>
      <c r="U76" s="46" t="n"/>
      <c r="V76" s="46" t="n"/>
      <c r="W76" s="39" t="n"/>
      <c r="X76" s="130" t="n"/>
      <c r="Y76" s="131" t="n"/>
      <c r="Z76" s="48" t="n"/>
      <c r="AA76" s="131" t="n"/>
    </row>
    <row r="77" customFormat="1" s="55">
      <c r="A77" s="36" t="n"/>
      <c r="B77" s="56" t="n"/>
      <c r="C77" s="38" t="n"/>
      <c r="D77" s="39" t="n"/>
      <c r="E77" s="40" t="n"/>
      <c r="F77" s="41" t="n"/>
      <c r="G77" s="42" t="n"/>
      <c r="H77" s="128" t="n"/>
      <c r="I77" s="129" t="n"/>
      <c r="J77" s="129" t="n"/>
      <c r="K77" s="129" t="n"/>
      <c r="L77" s="129" t="n"/>
      <c r="M77" s="130" t="n"/>
      <c r="N77" s="129" t="n"/>
      <c r="O77" s="129" t="n"/>
      <c r="P77" s="130" t="n"/>
      <c r="Q77" s="130" t="n"/>
      <c r="R77" s="130" t="n"/>
      <c r="S77" s="130" t="n"/>
      <c r="T77" s="39" t="n"/>
      <c r="U77" s="46" t="n"/>
      <c r="V77" s="46" t="n"/>
      <c r="W77" s="39" t="n"/>
      <c r="X77" s="130" t="n"/>
      <c r="Y77" s="131" t="n"/>
      <c r="Z77" s="48" t="n"/>
      <c r="AA77" s="131" t="n"/>
    </row>
    <row r="78" customFormat="1" s="55">
      <c r="A78" s="36" t="n"/>
      <c r="B78" s="56" t="n"/>
      <c r="C78" s="38" t="n"/>
      <c r="D78" s="39" t="n"/>
      <c r="E78" s="40" t="n"/>
      <c r="F78" s="41" t="n"/>
      <c r="G78" s="42" t="n"/>
      <c r="H78" s="128" t="n"/>
      <c r="I78" s="129" t="n"/>
      <c r="J78" s="129" t="n"/>
      <c r="K78" s="129" t="n"/>
      <c r="L78" s="129" t="n"/>
      <c r="M78" s="130" t="n"/>
      <c r="N78" s="129" t="n"/>
      <c r="O78" s="129" t="n"/>
      <c r="P78" s="130" t="n"/>
      <c r="Q78" s="130" t="n"/>
      <c r="R78" s="130" t="n"/>
      <c r="S78" s="130" t="n"/>
      <c r="T78" s="39" t="n"/>
      <c r="U78" s="46" t="n"/>
      <c r="V78" s="46" t="n"/>
      <c r="W78" s="39" t="n"/>
      <c r="X78" s="130" t="n"/>
      <c r="Y78" s="131" t="n"/>
      <c r="Z78" s="48" t="n"/>
      <c r="AA78" s="131" t="n"/>
    </row>
    <row r="79" customFormat="1" s="55">
      <c r="A79" s="36" t="n"/>
      <c r="B79" s="56" t="n"/>
      <c r="C79" s="38" t="n"/>
      <c r="D79" s="39" t="n"/>
      <c r="E79" s="40" t="n"/>
      <c r="F79" s="41" t="n"/>
      <c r="G79" s="42" t="n"/>
      <c r="H79" s="128" t="n"/>
      <c r="I79" s="129" t="n"/>
      <c r="J79" s="129" t="n"/>
      <c r="K79" s="129" t="n"/>
      <c r="L79" s="129" t="n"/>
      <c r="M79" s="130" t="n"/>
      <c r="N79" s="129" t="n"/>
      <c r="O79" s="129" t="n"/>
      <c r="P79" s="130" t="n"/>
      <c r="Q79" s="130" t="n"/>
      <c r="R79" s="130" t="n"/>
      <c r="S79" s="130" t="n"/>
      <c r="T79" s="39" t="n"/>
      <c r="U79" s="46" t="n"/>
      <c r="V79" s="46" t="n"/>
      <c r="W79" s="71" t="n"/>
      <c r="X79" s="130" t="n"/>
      <c r="Y79" s="131" t="n"/>
      <c r="Z79" s="48" t="n"/>
      <c r="AA79" s="131" t="n"/>
    </row>
    <row r="80" customFormat="1" s="55">
      <c r="A80" s="36" t="n"/>
      <c r="B80" s="56" t="n"/>
      <c r="C80" s="38" t="n"/>
      <c r="D80" s="39" t="n"/>
      <c r="E80" s="40" t="n"/>
      <c r="F80" s="41" t="n"/>
      <c r="G80" s="42" t="n"/>
      <c r="H80" s="128" t="n"/>
      <c r="I80" s="129" t="n"/>
      <c r="J80" s="129" t="n"/>
      <c r="K80" s="129" t="n"/>
      <c r="L80" s="129" t="n"/>
      <c r="M80" s="130" t="n"/>
      <c r="N80" s="129" t="n"/>
      <c r="O80" s="129" t="n"/>
      <c r="P80" s="130" t="n"/>
      <c r="Q80" s="130" t="n"/>
      <c r="R80" s="130" t="n"/>
      <c r="S80" s="130" t="n"/>
      <c r="T80" s="39" t="n"/>
      <c r="U80" s="46" t="n"/>
      <c r="V80" s="46" t="n"/>
      <c r="W80" s="39" t="n"/>
      <c r="X80" s="130" t="n"/>
      <c r="Y80" s="131" t="n"/>
      <c r="Z80" s="48" t="n"/>
      <c r="AA80" s="131" t="n"/>
    </row>
    <row r="81" customFormat="1" s="55">
      <c r="A81" s="36" t="n"/>
      <c r="B81" s="56" t="n"/>
      <c r="C81" s="38" t="n"/>
      <c r="D81" s="39" t="n"/>
      <c r="E81" s="40" t="n"/>
      <c r="F81" s="41" t="n"/>
      <c r="G81" s="42" t="n"/>
      <c r="H81" s="128" t="n"/>
      <c r="I81" s="129" t="n"/>
      <c r="J81" s="129" t="n"/>
      <c r="K81" s="129" t="n"/>
      <c r="L81" s="129" t="n"/>
      <c r="M81" s="130" t="n"/>
      <c r="N81" s="129" t="n"/>
      <c r="O81" s="129" t="n"/>
      <c r="P81" s="130" t="n"/>
      <c r="Q81" s="130" t="n"/>
      <c r="R81" s="130" t="n"/>
      <c r="S81" s="130" t="n"/>
      <c r="T81" s="39" t="n"/>
      <c r="U81" s="46" t="n"/>
      <c r="V81" s="46" t="n"/>
      <c r="W81" s="39" t="n"/>
      <c r="X81" s="130" t="n"/>
      <c r="Y81" s="131" t="n"/>
      <c r="Z81" s="48" t="n"/>
      <c r="AA81" s="131" t="n"/>
    </row>
    <row r="82">
      <c r="A82" s="36" t="n"/>
      <c r="B82" s="56" t="n"/>
      <c r="C82" s="38" t="n"/>
      <c r="D82" s="39" t="n"/>
      <c r="E82" s="40" t="n"/>
      <c r="F82" s="41" t="n"/>
      <c r="G82" s="42" t="n"/>
      <c r="H82" s="128" t="n"/>
      <c r="I82" s="129" t="n"/>
      <c r="J82" s="129" t="n"/>
      <c r="K82" s="129" t="n"/>
      <c r="L82" s="129" t="n"/>
      <c r="M82" s="130" t="n"/>
      <c r="N82" s="129" t="n"/>
      <c r="O82" s="129" t="n"/>
      <c r="P82" s="130" t="n"/>
      <c r="Q82" s="130" t="n"/>
      <c r="R82" s="130" t="n"/>
      <c r="S82" s="130" t="n"/>
      <c r="T82" s="39" t="n"/>
      <c r="U82" s="46" t="n"/>
      <c r="V82" s="46" t="n"/>
      <c r="W82" s="39" t="n"/>
      <c r="X82" s="130" t="n"/>
      <c r="Y82" s="131" t="n"/>
      <c r="Z82" s="48" t="n"/>
      <c r="AA82" s="131" t="n"/>
    </row>
    <row r="83">
      <c r="A83" s="36" t="n"/>
      <c r="B83" s="56" t="n"/>
      <c r="C83" s="38" t="n"/>
      <c r="D83" s="39" t="n"/>
      <c r="E83" s="40" t="n"/>
      <c r="F83" s="41" t="n"/>
      <c r="G83" s="42" t="n"/>
      <c r="H83" s="128" t="n"/>
      <c r="I83" s="129" t="n"/>
      <c r="J83" s="129" t="n"/>
      <c r="K83" s="129" t="n"/>
      <c r="L83" s="129" t="n"/>
      <c r="M83" s="130" t="n"/>
      <c r="N83" s="129" t="n"/>
      <c r="O83" s="129" t="n"/>
      <c r="P83" s="130" t="n"/>
      <c r="Q83" s="130" t="n"/>
      <c r="R83" s="130" t="n"/>
      <c r="S83" s="130" t="n"/>
      <c r="T83" s="39" t="n"/>
      <c r="U83" s="46" t="n"/>
      <c r="V83" s="46" t="n"/>
      <c r="W83" s="39" t="n"/>
      <c r="X83" s="130" t="n"/>
      <c r="Y83" s="131" t="n"/>
      <c r="Z83" s="48" t="n"/>
      <c r="AA83" s="131" t="n"/>
    </row>
    <row r="84">
      <c r="A84" s="36" t="n"/>
      <c r="B84" s="56" t="n"/>
      <c r="C84" s="38" t="n"/>
      <c r="D84" s="39" t="n"/>
      <c r="E84" s="40" t="n"/>
      <c r="F84" s="41" t="n"/>
      <c r="G84" s="42" t="n"/>
      <c r="H84" s="128" t="n"/>
      <c r="I84" s="129" t="n"/>
      <c r="J84" s="129" t="n"/>
      <c r="K84" s="129" t="n"/>
      <c r="L84" s="129" t="n"/>
      <c r="M84" s="130" t="n"/>
      <c r="N84" s="129" t="n"/>
      <c r="O84" s="129" t="n"/>
      <c r="P84" s="130" t="n"/>
      <c r="Q84" s="130" t="n"/>
      <c r="R84" s="130" t="n"/>
      <c r="S84" s="130" t="n"/>
      <c r="T84" s="39" t="n"/>
      <c r="U84" s="46" t="n"/>
      <c r="V84" s="46" t="n"/>
      <c r="W84" s="39" t="n"/>
      <c r="X84" s="130" t="n"/>
      <c r="Y84" s="131" t="n"/>
      <c r="Z84" s="48" t="n"/>
      <c r="AA84" s="131" t="n"/>
    </row>
    <row r="85">
      <c r="A85" s="36" t="n"/>
      <c r="B85" s="56" t="n"/>
      <c r="C85" s="38" t="n"/>
      <c r="D85" s="39" t="n"/>
      <c r="E85" s="40" t="n"/>
      <c r="F85" s="41" t="n"/>
      <c r="G85" s="42" t="n"/>
      <c r="H85" s="128" t="n"/>
      <c r="I85" s="129" t="n"/>
      <c r="J85" s="129" t="n"/>
      <c r="K85" s="129" t="n"/>
      <c r="L85" s="129" t="n"/>
      <c r="M85" s="130" t="n"/>
      <c r="N85" s="129" t="n"/>
      <c r="O85" s="129" t="n"/>
      <c r="P85" s="130" t="n"/>
      <c r="Q85" s="130" t="n"/>
      <c r="R85" s="130" t="n"/>
      <c r="S85" s="130" t="n"/>
      <c r="T85" s="39" t="n"/>
      <c r="U85" s="46" t="n"/>
      <c r="V85" s="46" t="n"/>
      <c r="W85" s="39" t="n"/>
      <c r="X85" s="130" t="n"/>
      <c r="Y85" s="131" t="n"/>
      <c r="Z85" s="48" t="n"/>
      <c r="AA85" s="131" t="n"/>
    </row>
    <row r="86">
      <c r="A86" s="36" t="n"/>
      <c r="B86" s="56" t="n"/>
      <c r="C86" s="38" t="n"/>
      <c r="D86" s="39" t="n"/>
      <c r="E86" s="40" t="n"/>
      <c r="F86" s="50" t="n"/>
      <c r="G86" s="42" t="n"/>
      <c r="H86" s="128" t="n"/>
      <c r="I86" s="129" t="n"/>
      <c r="J86" s="129" t="n"/>
      <c r="K86" s="129" t="n"/>
      <c r="L86" s="129" t="n"/>
      <c r="M86" s="130" t="n"/>
      <c r="N86" s="129" t="n"/>
      <c r="O86" s="129" t="n"/>
      <c r="P86" s="130" t="n"/>
      <c r="Q86" s="130" t="n"/>
      <c r="R86" s="130" t="n"/>
      <c r="S86" s="130" t="n"/>
      <c r="T86" s="39" t="n"/>
      <c r="U86" s="46" t="n"/>
      <c r="V86" s="46" t="n"/>
      <c r="W86" s="39" t="n"/>
      <c r="X86" s="130" t="n"/>
      <c r="Y86" s="131" t="n"/>
      <c r="Z86" s="48" t="n"/>
      <c r="AA86" s="131" t="n"/>
    </row>
    <row r="87">
      <c r="A87" s="36" t="n"/>
      <c r="B87" s="56" t="n"/>
      <c r="C87" s="38" t="n"/>
      <c r="D87" s="39" t="n"/>
      <c r="E87" s="40" t="n"/>
      <c r="F87" s="50" t="n"/>
      <c r="G87" s="42" t="n"/>
      <c r="H87" s="128" t="n"/>
      <c r="I87" s="129" t="n"/>
      <c r="J87" s="129" t="n"/>
      <c r="K87" s="129" t="n"/>
      <c r="L87" s="129" t="n"/>
      <c r="M87" s="130" t="n"/>
      <c r="N87" s="129" t="n"/>
      <c r="O87" s="129" t="n"/>
      <c r="P87" s="130" t="n"/>
      <c r="Q87" s="130" t="n"/>
      <c r="R87" s="130" t="n"/>
      <c r="S87" s="130" t="n"/>
      <c r="T87" s="39" t="n"/>
      <c r="U87" s="46" t="n"/>
      <c r="V87" s="46" t="n"/>
      <c r="W87" s="39" t="n"/>
      <c r="X87" s="130" t="n"/>
      <c r="Y87" s="131" t="n"/>
      <c r="Z87" s="48" t="n"/>
      <c r="AA87" s="131" t="n"/>
    </row>
    <row r="88">
      <c r="A88" s="36" t="n"/>
      <c r="B88" s="56" t="n"/>
      <c r="C88" s="38" t="n"/>
      <c r="D88" s="39" t="n"/>
      <c r="E88" s="40" t="n"/>
      <c r="F88" s="41" t="n"/>
      <c r="G88" s="42" t="n"/>
      <c r="H88" s="128" t="n"/>
      <c r="I88" s="129" t="n"/>
      <c r="J88" s="129" t="n"/>
      <c r="K88" s="129" t="n"/>
      <c r="L88" s="129" t="n"/>
      <c r="M88" s="130" t="n"/>
      <c r="N88" s="129" t="n"/>
      <c r="O88" s="129" t="n"/>
      <c r="P88" s="130" t="n"/>
      <c r="Q88" s="130" t="n"/>
      <c r="R88" s="130" t="n"/>
      <c r="S88" s="130" t="n"/>
      <c r="T88" s="39" t="n"/>
      <c r="U88" s="46" t="n"/>
      <c r="V88" s="46" t="n"/>
      <c r="W88" s="39" t="n"/>
      <c r="X88" s="130" t="n"/>
      <c r="Y88" s="131" t="n"/>
      <c r="Z88" s="48" t="n"/>
      <c r="AA88" s="131" t="n"/>
    </row>
    <row r="89">
      <c r="A89" s="36" t="n"/>
      <c r="B89" s="56" t="n"/>
      <c r="C89" s="38" t="n"/>
      <c r="D89" s="39" t="n"/>
      <c r="E89" s="40" t="n"/>
      <c r="F89" s="41" t="n"/>
      <c r="G89" s="42" t="n"/>
      <c r="H89" s="128" t="n"/>
      <c r="I89" s="129" t="n"/>
      <c r="J89" s="129" t="n"/>
      <c r="K89" s="129" t="n"/>
      <c r="L89" s="129" t="n"/>
      <c r="M89" s="130" t="n"/>
      <c r="N89" s="129" t="n"/>
      <c r="O89" s="129" t="n"/>
      <c r="P89" s="130" t="n"/>
      <c r="Q89" s="130" t="n"/>
      <c r="R89" s="130" t="n"/>
      <c r="S89" s="130" t="n"/>
      <c r="T89" s="39" t="n"/>
      <c r="U89" s="46" t="n"/>
      <c r="V89" s="72" t="n"/>
      <c r="W89" s="39" t="n"/>
      <c r="X89" s="130" t="n"/>
      <c r="Y89" s="131" t="n"/>
      <c r="Z89" s="48" t="n"/>
      <c r="AA89" s="131" t="n"/>
    </row>
    <row r="90">
      <c r="A90" s="36" t="n"/>
      <c r="B90" s="56" t="n"/>
      <c r="C90" s="91" t="n"/>
      <c r="D90" s="39" t="n"/>
      <c r="E90" s="40" t="n"/>
      <c r="F90" s="50" t="n"/>
      <c r="G90" s="42" t="n"/>
      <c r="H90" s="128" t="n"/>
      <c r="I90" s="129" t="n"/>
      <c r="J90" s="129" t="n"/>
      <c r="K90" s="129" t="n"/>
      <c r="L90" s="129" t="n"/>
      <c r="M90" s="130" t="n"/>
      <c r="N90" s="129" t="n"/>
      <c r="O90" s="129" t="n"/>
      <c r="P90" s="130" t="n"/>
      <c r="Q90" s="130" t="n"/>
      <c r="R90" s="130" t="n"/>
      <c r="S90" s="130" t="n"/>
      <c r="T90" s="39" t="n"/>
      <c r="U90" s="46" t="n"/>
      <c r="V90" s="72" t="n"/>
      <c r="W90" s="39" t="n"/>
      <c r="X90" s="130" t="n"/>
      <c r="Y90" s="131" t="n"/>
      <c r="Z90" s="48" t="n"/>
      <c r="AA90" s="131" t="n"/>
    </row>
    <row r="91">
      <c r="A91" s="36" t="n"/>
      <c r="B91" s="56" t="n"/>
      <c r="C91" s="38" t="n"/>
      <c r="D91" s="39" t="n"/>
      <c r="E91" s="40" t="n"/>
      <c r="F91" s="41" t="n"/>
      <c r="G91" s="42" t="n"/>
      <c r="H91" s="128" t="n"/>
      <c r="I91" s="129" t="n"/>
      <c r="J91" s="129" t="n"/>
      <c r="K91" s="129" t="n"/>
      <c r="L91" s="129" t="n"/>
      <c r="M91" s="130" t="n"/>
      <c r="N91" s="129" t="n"/>
      <c r="O91" s="129" t="n"/>
      <c r="P91" s="130" t="n"/>
      <c r="Q91" s="130" t="n"/>
      <c r="R91" s="130" t="n"/>
      <c r="S91" s="130" t="n"/>
      <c r="T91" s="39" t="n"/>
      <c r="U91" s="46" t="n"/>
      <c r="V91" s="72" t="n"/>
      <c r="W91" s="39" t="n"/>
      <c r="X91" s="130" t="n"/>
      <c r="Y91" s="131" t="n"/>
      <c r="Z91" s="48" t="n"/>
      <c r="AA91" s="131" t="n"/>
    </row>
    <row r="92">
      <c r="A92" s="36" t="n"/>
      <c r="B92" s="56" t="n"/>
      <c r="C92" s="91" t="n"/>
      <c r="D92" s="39" t="n"/>
      <c r="E92" s="40" t="n"/>
      <c r="F92" s="41" t="n"/>
      <c r="G92" s="42" t="n"/>
      <c r="H92" s="128" t="n"/>
      <c r="I92" s="129" t="n"/>
      <c r="J92" s="129" t="n"/>
      <c r="K92" s="129" t="n"/>
      <c r="L92" s="129" t="n"/>
      <c r="M92" s="130" t="n"/>
      <c r="N92" s="129" t="n"/>
      <c r="O92" s="129" t="n"/>
      <c r="P92" s="130" t="n"/>
      <c r="Q92" s="130" t="n"/>
      <c r="R92" s="130" t="n"/>
      <c r="S92" s="130" t="n"/>
      <c r="T92" s="39" t="n"/>
      <c r="U92" s="72" t="n"/>
      <c r="V92" s="72" t="n"/>
      <c r="W92" s="39" t="n"/>
      <c r="X92" s="130" t="n"/>
      <c r="Y92" s="131" t="n"/>
      <c r="Z92" s="48" t="n"/>
      <c r="AA92" s="131" t="n"/>
    </row>
    <row r="93">
      <c r="A93" s="36" t="n"/>
      <c r="B93" s="56" t="n"/>
      <c r="C93" s="38" t="n"/>
      <c r="D93" s="39" t="n"/>
      <c r="E93" s="40" t="n"/>
      <c r="F93" s="50" t="n"/>
      <c r="G93" s="42" t="n"/>
      <c r="H93" s="128" t="n"/>
      <c r="I93" s="129" t="n"/>
      <c r="J93" s="129" t="n"/>
      <c r="K93" s="129" t="n"/>
      <c r="L93" s="129" t="n"/>
      <c r="M93" s="130" t="n"/>
      <c r="N93" s="129" t="n"/>
      <c r="O93" s="129" t="n"/>
      <c r="P93" s="130" t="n"/>
      <c r="Q93" s="130" t="n"/>
      <c r="R93" s="130" t="n"/>
      <c r="S93" s="130" t="n"/>
      <c r="T93" s="39" t="n"/>
      <c r="U93" s="72" t="n"/>
      <c r="V93" s="72" t="n"/>
      <c r="W93" s="39" t="n"/>
      <c r="X93" s="130" t="n"/>
      <c r="Y93" s="131" t="n"/>
      <c r="Z93" s="48" t="n"/>
      <c r="AA93" s="131" t="n"/>
    </row>
    <row r="94">
      <c r="A94" s="36" t="n"/>
      <c r="B94" s="37" t="n"/>
      <c r="C94" s="73" t="n"/>
      <c r="D94" s="39" t="n"/>
      <c r="E94" s="40" t="n"/>
      <c r="F94" s="41" t="n"/>
      <c r="G94" s="42" t="n"/>
      <c r="H94" s="128" t="n"/>
      <c r="I94" s="129" t="n"/>
      <c r="J94" s="129" t="n"/>
      <c r="K94" s="129" t="n"/>
      <c r="L94" s="129" t="n"/>
      <c r="M94" s="130" t="n"/>
      <c r="N94" s="129" t="n"/>
      <c r="O94" s="129" t="n"/>
      <c r="P94" s="130" t="n"/>
      <c r="Q94" s="130" t="n"/>
      <c r="R94" s="130" t="n"/>
      <c r="S94" s="130" t="n"/>
      <c r="T94" s="39" t="n"/>
      <c r="U94" s="72" t="n"/>
      <c r="V94" s="72" t="n"/>
      <c r="W94" s="39" t="n"/>
      <c r="X94" s="130" t="n"/>
      <c r="Y94" s="131" t="n"/>
      <c r="Z94" s="48" t="n"/>
      <c r="AA94" s="131" t="n"/>
    </row>
    <row r="95">
      <c r="A95" s="36" t="n"/>
      <c r="B95" s="74" t="n"/>
      <c r="C95" s="91" t="n"/>
      <c r="D95" s="39" t="n"/>
      <c r="E95" s="40" t="n"/>
      <c r="F95" s="41" t="n"/>
      <c r="G95" s="42" t="n"/>
      <c r="H95" s="128" t="n"/>
      <c r="I95" s="129" t="n"/>
      <c r="J95" s="129" t="n"/>
      <c r="K95" s="129" t="n"/>
      <c r="L95" s="129" t="n"/>
      <c r="M95" s="130" t="n"/>
      <c r="N95" s="129" t="n"/>
      <c r="O95" s="129" t="n"/>
      <c r="P95" s="130" t="n"/>
      <c r="Q95" s="130" t="n"/>
      <c r="R95" s="130" t="n"/>
      <c r="S95" s="130" t="n"/>
      <c r="T95" s="39" t="n"/>
      <c r="U95" s="72" t="n"/>
      <c r="V95" s="72" t="n"/>
      <c r="W95" s="39" t="n"/>
      <c r="X95" s="130" t="n"/>
      <c r="Y95" s="131" t="n"/>
      <c r="Z95" s="48" t="n"/>
      <c r="AA95" s="131" t="n"/>
    </row>
    <row r="96">
      <c r="A96" s="36" t="n"/>
      <c r="B96" s="74" t="n"/>
      <c r="C96" s="91" t="n"/>
      <c r="D96" s="39" t="n"/>
      <c r="E96" s="40" t="n"/>
      <c r="F96" s="41" t="n"/>
      <c r="G96" s="42" t="n"/>
      <c r="H96" s="128" t="n"/>
      <c r="I96" s="129" t="n"/>
      <c r="J96" s="129" t="n"/>
      <c r="K96" s="129" t="n"/>
      <c r="L96" s="129" t="n"/>
      <c r="M96" s="130" t="n"/>
      <c r="N96" s="129" t="n"/>
      <c r="O96" s="129" t="n"/>
      <c r="P96" s="130" t="n"/>
      <c r="Q96" s="130" t="n"/>
      <c r="R96" s="130" t="n"/>
      <c r="S96" s="130" t="n"/>
      <c r="T96" s="39" t="n"/>
      <c r="U96" s="72" t="n"/>
      <c r="V96" s="72" t="n"/>
      <c r="W96" s="39" t="n"/>
      <c r="X96" s="130" t="n"/>
      <c r="Y96" s="131" t="n"/>
      <c r="Z96" s="48" t="n"/>
      <c r="AA96" s="131" t="n"/>
    </row>
    <row r="97">
      <c r="A97" s="36" t="n"/>
      <c r="B97" s="74" t="n"/>
      <c r="C97" s="91" t="n"/>
      <c r="D97" s="39" t="n"/>
      <c r="E97" s="40" t="n"/>
      <c r="F97" s="41" t="n"/>
      <c r="G97" s="42" t="n"/>
      <c r="H97" s="128" t="n"/>
      <c r="I97" s="129" t="n"/>
      <c r="J97" s="129" t="n"/>
      <c r="K97" s="129" t="n"/>
      <c r="L97" s="129" t="n"/>
      <c r="M97" s="130" t="n"/>
      <c r="N97" s="129" t="n"/>
      <c r="O97" s="129" t="n"/>
      <c r="P97" s="130" t="n"/>
      <c r="Q97" s="130" t="n"/>
      <c r="R97" s="130" t="n"/>
      <c r="S97" s="130" t="n"/>
      <c r="T97" s="39" t="n"/>
      <c r="U97" s="72" t="n"/>
      <c r="V97" s="72" t="n"/>
      <c r="W97" s="39" t="n"/>
      <c r="X97" s="130" t="n"/>
      <c r="Y97" s="131" t="n"/>
      <c r="Z97" s="48" t="n"/>
      <c r="AA97" s="131" t="n"/>
    </row>
    <row r="98">
      <c r="A98" s="36" t="n"/>
      <c r="B98" s="74" t="n"/>
      <c r="C98" s="91" t="n"/>
      <c r="D98" s="39" t="n"/>
      <c r="E98" s="40" t="n"/>
      <c r="F98" s="41" t="n"/>
      <c r="G98" s="42" t="n"/>
      <c r="H98" s="128" t="n"/>
      <c r="I98" s="129" t="n"/>
      <c r="J98" s="129" t="n"/>
      <c r="K98" s="129" t="n"/>
      <c r="L98" s="129" t="n"/>
      <c r="M98" s="130" t="n"/>
      <c r="N98" s="129" t="n"/>
      <c r="O98" s="129" t="n"/>
      <c r="P98" s="130" t="n"/>
      <c r="Q98" s="130" t="n"/>
      <c r="R98" s="130" t="n"/>
      <c r="S98" s="130" t="n"/>
      <c r="T98" s="39" t="n"/>
      <c r="U98" s="72" t="n"/>
      <c r="V98" s="39" t="n"/>
      <c r="W98" s="39" t="n"/>
      <c r="X98" s="130" t="n"/>
      <c r="Y98" s="131" t="n"/>
      <c r="Z98" s="48" t="n"/>
      <c r="AA98" s="131" t="n"/>
    </row>
    <row r="99">
      <c r="A99" s="36" t="n"/>
      <c r="B99" s="74" t="n"/>
      <c r="C99" s="91" t="n"/>
      <c r="D99" s="39" t="n"/>
      <c r="E99" s="40" t="n"/>
      <c r="F99" s="41" t="n"/>
      <c r="G99" s="42" t="n"/>
      <c r="H99" s="128" t="n"/>
      <c r="I99" s="129" t="n"/>
      <c r="J99" s="129" t="n"/>
      <c r="K99" s="129" t="n"/>
      <c r="L99" s="129" t="n"/>
      <c r="M99" s="130" t="n"/>
      <c r="N99" s="129" t="n"/>
      <c r="O99" s="129" t="n"/>
      <c r="P99" s="130" t="n"/>
      <c r="Q99" s="130" t="n"/>
      <c r="R99" s="130" t="n"/>
      <c r="S99" s="130" t="n"/>
      <c r="T99" s="39" t="n"/>
      <c r="U99" s="72" t="n"/>
      <c r="V99" s="72" t="n"/>
      <c r="W99" s="39" t="n"/>
      <c r="X99" s="130" t="n"/>
      <c r="Y99" s="131" t="n"/>
      <c r="Z99" s="48" t="n"/>
      <c r="AA99" s="131" t="n"/>
    </row>
    <row r="100">
      <c r="A100" s="36" t="n"/>
      <c r="B100" s="86" t="n"/>
      <c r="C100" s="91" t="n"/>
      <c r="D100" s="88" t="n"/>
      <c r="E100" s="40" t="n"/>
      <c r="F100" s="41" t="n"/>
      <c r="G100" s="42" t="n"/>
      <c r="H100" s="128" t="n"/>
      <c r="I100" s="129" t="n"/>
      <c r="J100" s="129" t="n"/>
      <c r="K100" s="129" t="n"/>
      <c r="L100" s="129" t="n"/>
      <c r="M100" s="130" t="n"/>
      <c r="N100" s="129" t="n"/>
      <c r="O100" s="129" t="n"/>
      <c r="P100" s="130" t="n"/>
      <c r="Q100" s="130" t="n"/>
      <c r="R100" s="130" t="n"/>
      <c r="S100" s="130" t="n"/>
      <c r="T100" s="39" t="n"/>
      <c r="U100" s="72" t="n"/>
      <c r="V100" s="72" t="n"/>
      <c r="W100" s="39" t="n"/>
      <c r="X100" s="130" t="n"/>
      <c r="Y100" s="131" t="n"/>
      <c r="Z100" s="48" t="n"/>
      <c r="AA100" s="131" t="n"/>
    </row>
    <row r="101">
      <c r="A101" s="36" t="n"/>
      <c r="B101" s="76" t="n"/>
      <c r="C101" s="77" t="n"/>
      <c r="D101" s="88" t="n"/>
      <c r="E101" s="40" t="n"/>
      <c r="F101" s="41" t="n"/>
      <c r="G101" s="42" t="n"/>
      <c r="H101" s="128" t="n"/>
      <c r="I101" s="129" t="n"/>
      <c r="J101" s="129" t="n"/>
      <c r="K101" s="129" t="n"/>
      <c r="L101" s="129" t="n"/>
      <c r="M101" s="130" t="n"/>
      <c r="N101" s="129" t="n"/>
      <c r="O101" s="129" t="n"/>
      <c r="P101" s="130" t="n"/>
      <c r="Q101" s="130" t="n"/>
      <c r="R101" s="130" t="n"/>
      <c r="S101" s="130" t="n"/>
      <c r="T101" s="39" t="n"/>
      <c r="U101" s="72" t="n"/>
      <c r="V101" s="72" t="n"/>
      <c r="W101" s="39" t="n"/>
      <c r="X101" s="130" t="n"/>
      <c r="Y101" s="131" t="n"/>
      <c r="Z101" s="48" t="n"/>
      <c r="AA101" s="131" t="n"/>
    </row>
    <row r="102" ht="15" customHeight="1">
      <c r="A102" s="36" t="n"/>
      <c r="B102" s="78" t="n"/>
      <c r="C102" s="86" t="n"/>
      <c r="D102" s="88" t="n"/>
      <c r="E102" s="40" t="n"/>
      <c r="F102" s="41" t="n"/>
      <c r="G102" s="42" t="n"/>
      <c r="H102" s="128" t="n"/>
      <c r="I102" s="129" t="n"/>
      <c r="J102" s="129" t="n"/>
      <c r="K102" s="129" t="n"/>
      <c r="L102" s="129" t="n"/>
      <c r="M102" s="130" t="n"/>
      <c r="N102" s="129" t="n"/>
      <c r="O102" s="129" t="n"/>
      <c r="P102" s="130" t="n"/>
      <c r="Q102" s="130" t="n"/>
      <c r="R102" s="130" t="n"/>
      <c r="S102" s="130" t="n"/>
      <c r="T102" s="39" t="n"/>
      <c r="U102" s="72" t="n"/>
      <c r="V102" s="72" t="n"/>
      <c r="W102" s="39" t="n"/>
      <c r="X102" s="130" t="n"/>
      <c r="Y102" s="131" t="n"/>
      <c r="Z102" s="48" t="n"/>
      <c r="AA102" s="131" t="n"/>
    </row>
    <row r="103">
      <c r="A103" s="36" t="n"/>
      <c r="B103" s="86" t="n"/>
      <c r="C103" s="86" t="n"/>
      <c r="D103" s="80" t="n"/>
      <c r="E103" s="40" t="n"/>
      <c r="F103" s="41" t="n"/>
      <c r="G103" s="42" t="n"/>
      <c r="H103" s="128" t="n"/>
      <c r="I103" s="129" t="n"/>
      <c r="J103" s="129" t="n"/>
      <c r="K103" s="129" t="n"/>
      <c r="L103" s="129" t="n"/>
      <c r="M103" s="130" t="n"/>
      <c r="N103" s="129" t="n"/>
      <c r="O103" s="129" t="n"/>
      <c r="P103" s="130" t="n"/>
      <c r="Q103" s="130" t="n"/>
      <c r="R103" s="130" t="n"/>
      <c r="S103" s="130" t="n"/>
      <c r="T103" s="39" t="n"/>
      <c r="U103" s="72" t="n"/>
      <c r="V103" s="39" t="n"/>
      <c r="W103" s="39" t="n"/>
      <c r="X103" s="130" t="n"/>
      <c r="Y103" s="131" t="n"/>
      <c r="Z103" s="48" t="n"/>
      <c r="AA103" s="131" t="n"/>
    </row>
    <row r="104">
      <c r="A104" s="36" t="n"/>
      <c r="B104" s="82" t="n"/>
      <c r="C104" s="91" t="n"/>
      <c r="D104" s="88" t="n"/>
      <c r="E104" s="40" t="n"/>
      <c r="F104" s="41" t="n"/>
      <c r="G104" s="42" t="n"/>
      <c r="H104" s="128" t="n"/>
      <c r="I104" s="129" t="n"/>
      <c r="J104" s="129" t="n"/>
      <c r="K104" s="129" t="n"/>
      <c r="L104" s="129" t="n"/>
      <c r="M104" s="130" t="n"/>
      <c r="N104" s="129" t="n"/>
      <c r="O104" s="129" t="n"/>
      <c r="P104" s="130" t="n"/>
      <c r="Q104" s="130" t="n"/>
      <c r="R104" s="130" t="n"/>
      <c r="S104" s="130" t="n"/>
      <c r="T104" s="39" t="n"/>
      <c r="U104" s="72" t="n"/>
      <c r="V104" s="72" t="n"/>
      <c r="W104" s="39" t="n"/>
      <c r="X104" s="130" t="n"/>
      <c r="Y104" s="131" t="n"/>
      <c r="Z104" s="48" t="n"/>
      <c r="AA104" s="131" t="n"/>
    </row>
    <row r="105">
      <c r="A105" s="36" t="n"/>
      <c r="B105" s="82" t="n"/>
      <c r="C105" s="91" t="n"/>
      <c r="D105" s="88" t="n"/>
      <c r="E105" s="40" t="n"/>
      <c r="F105" s="41" t="n"/>
      <c r="G105" s="42" t="n"/>
      <c r="H105" s="128" t="n"/>
      <c r="I105" s="129" t="n"/>
      <c r="J105" s="129" t="n"/>
      <c r="K105" s="129" t="n"/>
      <c r="L105" s="129" t="n"/>
      <c r="M105" s="130" t="n"/>
      <c r="N105" s="129" t="n"/>
      <c r="O105" s="129" t="n"/>
      <c r="P105" s="130" t="n"/>
      <c r="Q105" s="130" t="n"/>
      <c r="R105" s="130" t="n"/>
      <c r="S105" s="130" t="n"/>
      <c r="T105" s="39" t="n"/>
      <c r="U105" s="72" t="n"/>
      <c r="V105" s="72" t="n"/>
      <c r="W105" s="39" t="n"/>
      <c r="X105" s="130" t="n"/>
      <c r="Y105" s="131" t="n"/>
      <c r="Z105" s="48" t="n"/>
      <c r="AA105" s="131" t="n"/>
    </row>
    <row r="106">
      <c r="A106" s="36" t="n"/>
      <c r="B106" s="82" t="n"/>
      <c r="C106" s="91" t="n"/>
      <c r="D106" s="88" t="n"/>
      <c r="E106" s="40" t="n"/>
      <c r="F106" s="50" t="n"/>
      <c r="G106" s="42" t="n"/>
      <c r="H106" s="128" t="n"/>
      <c r="I106" s="129" t="n"/>
      <c r="J106" s="129" t="n"/>
      <c r="K106" s="129" t="n"/>
      <c r="L106" s="129" t="n"/>
      <c r="M106" s="130" t="n"/>
      <c r="N106" s="129" t="n"/>
      <c r="O106" s="129" t="n"/>
      <c r="P106" s="130" t="n"/>
      <c r="Q106" s="130" t="n"/>
      <c r="R106" s="130" t="n"/>
      <c r="S106" s="130" t="n"/>
      <c r="T106" s="39" t="n"/>
      <c r="U106" s="72" t="n"/>
      <c r="V106" s="72" t="n"/>
      <c r="W106" s="39" t="n"/>
      <c r="X106" s="130" t="n"/>
      <c r="Y106" s="131" t="n"/>
      <c r="Z106" s="48" t="n"/>
      <c r="AA106" s="131" t="n"/>
    </row>
    <row r="107">
      <c r="A107" s="36" t="n"/>
      <c r="B107" s="82" t="n"/>
      <c r="C107" s="91" t="n"/>
      <c r="D107" s="88" t="n"/>
      <c r="E107" s="40" t="n"/>
      <c r="F107" s="41" t="n"/>
      <c r="G107" s="42" t="n"/>
      <c r="H107" s="128" t="n"/>
      <c r="I107" s="129" t="n"/>
      <c r="J107" s="129" t="n"/>
      <c r="K107" s="129" t="n"/>
      <c r="L107" s="129" t="n"/>
      <c r="M107" s="130" t="n"/>
      <c r="N107" s="129" t="n"/>
      <c r="O107" s="129" t="n"/>
      <c r="P107" s="130" t="n"/>
      <c r="Q107" s="130" t="n"/>
      <c r="R107" s="130" t="n"/>
      <c r="S107" s="130" t="n"/>
      <c r="T107" s="39" t="n"/>
      <c r="U107" s="72" t="n"/>
      <c r="V107" s="39" t="n"/>
      <c r="W107" s="39" t="n"/>
      <c r="X107" s="130" t="n"/>
      <c r="Y107" s="131" t="n"/>
      <c r="Z107" s="48" t="n"/>
      <c r="AA107" s="131" t="n"/>
    </row>
    <row r="108">
      <c r="A108" s="36" t="n"/>
      <c r="B108" s="83" t="n"/>
      <c r="C108" s="77" t="n"/>
      <c r="D108" s="88" t="n"/>
      <c r="E108" s="40" t="n"/>
      <c r="F108" s="41" t="n"/>
      <c r="G108" s="42" t="n"/>
      <c r="H108" s="128" t="n"/>
      <c r="I108" s="129" t="n"/>
      <c r="J108" s="129" t="n"/>
      <c r="K108" s="129" t="n"/>
      <c r="L108" s="129" t="n"/>
      <c r="M108" s="130" t="n"/>
      <c r="N108" s="129" t="n"/>
      <c r="O108" s="129" t="n"/>
      <c r="P108" s="130" t="n"/>
      <c r="Q108" s="130" t="n"/>
      <c r="R108" s="130" t="n"/>
      <c r="S108" s="130" t="n"/>
      <c r="T108" s="39" t="n"/>
      <c r="U108" s="72" t="n"/>
      <c r="V108" s="72" t="n"/>
      <c r="W108" s="39" t="n"/>
      <c r="X108" s="130" t="n"/>
      <c r="Y108" s="131" t="n"/>
      <c r="Z108" s="48" t="n"/>
      <c r="AA108" s="131" t="n"/>
    </row>
    <row r="109">
      <c r="A109" s="36" t="n"/>
      <c r="B109" s="82" t="n"/>
      <c r="C109" s="58" t="n"/>
      <c r="D109" s="88" t="n"/>
      <c r="E109" s="40" t="n"/>
      <c r="F109" s="50" t="n"/>
      <c r="G109" s="42" t="n"/>
      <c r="H109" s="128" t="n"/>
      <c r="I109" s="129" t="n"/>
      <c r="J109" s="129" t="n"/>
      <c r="K109" s="129" t="n"/>
      <c r="L109" s="129" t="n"/>
      <c r="M109" s="130" t="n"/>
      <c r="N109" s="129" t="n"/>
      <c r="O109" s="129" t="n"/>
      <c r="P109" s="130" t="n"/>
      <c r="Q109" s="130" t="n"/>
      <c r="R109" s="130" t="n"/>
      <c r="S109" s="130" t="n"/>
      <c r="T109" s="39" t="n"/>
      <c r="U109" s="72" t="n"/>
      <c r="V109" s="72" t="n"/>
      <c r="W109" s="39" t="n"/>
      <c r="X109" s="130" t="n"/>
      <c r="Y109" s="131" t="n"/>
      <c r="Z109" s="48" t="n"/>
      <c r="AA109" s="131" t="n"/>
    </row>
    <row r="110">
      <c r="A110" s="36" t="n"/>
      <c r="B110" s="84" t="n"/>
      <c r="C110" s="73" t="n"/>
      <c r="D110" s="88" t="n"/>
      <c r="E110" s="40" t="n"/>
      <c r="F110" s="50" t="n"/>
      <c r="G110" s="42" t="n"/>
      <c r="H110" s="128" t="n"/>
      <c r="I110" s="129" t="n"/>
      <c r="J110" s="129" t="n"/>
      <c r="K110" s="129" t="n"/>
      <c r="L110" s="129" t="n"/>
      <c r="M110" s="130" t="n"/>
      <c r="N110" s="129" t="n"/>
      <c r="O110" s="129" t="n"/>
      <c r="P110" s="130" t="n"/>
      <c r="Q110" s="130" t="n"/>
      <c r="R110" s="130" t="n"/>
      <c r="S110" s="130" t="n"/>
      <c r="T110" s="39" t="n"/>
      <c r="U110" s="72" t="n"/>
      <c r="V110" s="72" t="n"/>
      <c r="W110" s="39" t="n"/>
      <c r="X110" s="130" t="n"/>
      <c r="Y110" s="131" t="n"/>
      <c r="Z110" s="48" t="n"/>
      <c r="AA110" s="131" t="n"/>
    </row>
    <row r="111">
      <c r="A111" s="36" t="n"/>
      <c r="B111" s="84" t="n"/>
      <c r="C111" s="73" t="n"/>
      <c r="D111" s="88" t="n"/>
      <c r="E111" s="40" t="n"/>
      <c r="F111" s="41" t="n"/>
      <c r="G111" s="42" t="n"/>
      <c r="H111" s="128" t="n"/>
      <c r="I111" s="129" t="n"/>
      <c r="J111" s="129" t="n"/>
      <c r="K111" s="129" t="n"/>
      <c r="L111" s="129" t="n"/>
      <c r="M111" s="130" t="n"/>
      <c r="N111" s="129" t="n"/>
      <c r="O111" s="129" t="n"/>
      <c r="P111" s="130" t="n"/>
      <c r="Q111" s="130" t="n"/>
      <c r="R111" s="130" t="n"/>
      <c r="S111" s="130" t="n"/>
      <c r="T111" s="39" t="n"/>
      <c r="U111" s="72" t="n"/>
      <c r="V111" s="39" t="n"/>
      <c r="W111" s="39" t="n"/>
      <c r="X111" s="130" t="n"/>
      <c r="Y111" s="131" t="n"/>
      <c r="Z111" s="48" t="n"/>
      <c r="AA111" s="131" t="n"/>
    </row>
    <row r="112">
      <c r="A112" s="36" t="n"/>
      <c r="B112" s="84" t="n"/>
      <c r="C112" s="73" t="n"/>
      <c r="D112" s="88" t="n"/>
      <c r="E112" s="40" t="n"/>
      <c r="F112" s="41" t="n"/>
      <c r="G112" s="42" t="n"/>
      <c r="H112" s="128" t="n"/>
      <c r="I112" s="129" t="n"/>
      <c r="J112" s="129" t="n"/>
      <c r="K112" s="129" t="n"/>
      <c r="L112" s="129" t="n"/>
      <c r="M112" s="130" t="n"/>
      <c r="N112" s="129" t="n"/>
      <c r="O112" s="129" t="n"/>
      <c r="P112" s="130" t="n"/>
      <c r="Q112" s="130" t="n"/>
      <c r="R112" s="130" t="n"/>
      <c r="S112" s="130" t="n"/>
      <c r="T112" s="39" t="n"/>
      <c r="U112" s="72" t="n"/>
      <c r="V112" s="39" t="n"/>
      <c r="W112" s="39" t="n"/>
      <c r="X112" s="130" t="n"/>
      <c r="Y112" s="131" t="n"/>
      <c r="Z112" s="48" t="n"/>
      <c r="AA112" s="131" t="n"/>
    </row>
    <row r="113">
      <c r="A113" s="36" t="n"/>
      <c r="B113" s="84" t="n"/>
      <c r="C113" s="73" t="n"/>
      <c r="D113" s="88" t="n"/>
      <c r="E113" s="40" t="n"/>
      <c r="F113" s="41" t="n"/>
      <c r="G113" s="42" t="n"/>
      <c r="H113" s="128" t="n"/>
      <c r="I113" s="129" t="n"/>
      <c r="J113" s="129" t="n"/>
      <c r="K113" s="129" t="n"/>
      <c r="L113" s="129" t="n"/>
      <c r="M113" s="130" t="n"/>
      <c r="N113" s="129" t="n"/>
      <c r="O113" s="129" t="n"/>
      <c r="P113" s="130" t="n"/>
      <c r="Q113" s="130" t="n"/>
      <c r="R113" s="130" t="n"/>
      <c r="S113" s="130" t="n"/>
      <c r="T113" s="39" t="n"/>
      <c r="U113" s="72" t="n"/>
      <c r="V113" s="72" t="n"/>
      <c r="W113" s="39" t="n"/>
      <c r="X113" s="130" t="n"/>
      <c r="Y113" s="131" t="n"/>
      <c r="Z113" s="48" t="n"/>
      <c r="AA113" s="131" t="n"/>
    </row>
    <row r="114" customFormat="1" s="55">
      <c r="A114" s="36" t="n"/>
      <c r="B114" s="84" t="n"/>
      <c r="C114" s="73" t="n"/>
      <c r="D114" s="88" t="n"/>
      <c r="E114" s="40" t="n"/>
      <c r="F114" s="41" t="n"/>
      <c r="G114" s="42" t="n"/>
      <c r="H114" s="128" t="n"/>
      <c r="I114" s="129" t="n"/>
      <c r="J114" s="129" t="n"/>
      <c r="K114" s="129" t="n"/>
      <c r="L114" s="129" t="n"/>
      <c r="M114" s="130" t="n"/>
      <c r="N114" s="129" t="n"/>
      <c r="O114" s="129" t="n"/>
      <c r="P114" s="130" t="n"/>
      <c r="Q114" s="130" t="n"/>
      <c r="R114" s="130" t="n"/>
      <c r="S114" s="130" t="n"/>
      <c r="T114" s="39" t="n"/>
      <c r="U114" s="46" t="n"/>
      <c r="V114" s="46" t="n"/>
      <c r="W114" s="39" t="n"/>
      <c r="X114" s="130" t="n"/>
      <c r="Y114" s="131" t="n"/>
      <c r="Z114" s="48" t="n"/>
      <c r="AA114" s="131" t="n"/>
    </row>
    <row r="115" customFormat="1" s="55">
      <c r="A115" s="36" t="n"/>
      <c r="B115" s="84" t="n"/>
      <c r="C115" s="73" t="n"/>
      <c r="D115" s="88" t="n"/>
      <c r="E115" s="40" t="n"/>
      <c r="F115" s="41" t="n"/>
      <c r="G115" s="42" t="n"/>
      <c r="H115" s="128" t="n"/>
      <c r="I115" s="129" t="n"/>
      <c r="J115" s="129" t="n"/>
      <c r="K115" s="129" t="n"/>
      <c r="L115" s="129" t="n"/>
      <c r="M115" s="130" t="n"/>
      <c r="N115" s="129" t="n"/>
      <c r="O115" s="129" t="n"/>
      <c r="P115" s="130" t="n"/>
      <c r="Q115" s="130" t="n"/>
      <c r="R115" s="130" t="n"/>
      <c r="S115" s="130" t="n"/>
      <c r="T115" s="39" t="n"/>
      <c r="U115" s="46" t="n"/>
      <c r="V115" s="46" t="n"/>
      <c r="W115" s="39" t="n"/>
      <c r="X115" s="130" t="n"/>
      <c r="Y115" s="131" t="n"/>
      <c r="Z115" s="48" t="n"/>
      <c r="AA115" s="131" t="n"/>
    </row>
    <row r="116" customFormat="1" s="55">
      <c r="A116" s="36" t="n"/>
      <c r="B116" s="84" t="n"/>
      <c r="C116" s="73" t="n"/>
      <c r="D116" s="88" t="n"/>
      <c r="E116" s="40" t="n"/>
      <c r="F116" s="41" t="n"/>
      <c r="G116" s="42" t="n"/>
      <c r="H116" s="128" t="n"/>
      <c r="I116" s="129" t="n"/>
      <c r="J116" s="129" t="n"/>
      <c r="K116" s="129" t="n"/>
      <c r="L116" s="129" t="n"/>
      <c r="M116" s="130" t="n"/>
      <c r="N116" s="129" t="n"/>
      <c r="O116" s="129" t="n"/>
      <c r="P116" s="130" t="n"/>
      <c r="Q116" s="130" t="n"/>
      <c r="R116" s="130" t="n"/>
      <c r="S116" s="130" t="n"/>
      <c r="T116" s="39" t="n"/>
      <c r="U116" s="46" t="n"/>
      <c r="V116" s="46" t="n"/>
      <c r="W116" s="39" t="n"/>
      <c r="X116" s="130" t="n"/>
      <c r="Y116" s="131" t="n"/>
      <c r="Z116" s="48" t="n"/>
      <c r="AA116" s="131" t="n"/>
    </row>
    <row r="117" customFormat="1" s="55">
      <c r="A117" s="36" t="n"/>
      <c r="B117" s="82" t="n"/>
      <c r="C117" s="73" t="n"/>
      <c r="D117" s="88" t="n"/>
      <c r="E117" s="40" t="n"/>
      <c r="F117" s="41" t="n"/>
      <c r="G117" s="42" t="n"/>
      <c r="H117" s="128" t="n"/>
      <c r="I117" s="129" t="n"/>
      <c r="J117" s="129" t="n"/>
      <c r="K117" s="129" t="n"/>
      <c r="L117" s="129" t="n"/>
      <c r="M117" s="130" t="n"/>
      <c r="N117" s="129" t="n"/>
      <c r="O117" s="129" t="n"/>
      <c r="P117" s="130" t="n"/>
      <c r="Q117" s="130" t="n"/>
      <c r="R117" s="130" t="n"/>
      <c r="S117" s="130" t="n"/>
      <c r="T117" s="39" t="n"/>
      <c r="U117" s="46" t="n"/>
      <c r="V117" s="46" t="n"/>
      <c r="W117" s="71" t="n"/>
      <c r="X117" s="130" t="n"/>
      <c r="Y117" s="131" t="n"/>
      <c r="Z117" s="48" t="n"/>
      <c r="AA117" s="131" t="n"/>
    </row>
    <row r="118" customFormat="1" s="55">
      <c r="A118" s="36" t="n"/>
      <c r="B118" s="82" t="n"/>
      <c r="C118" s="73" t="n"/>
      <c r="D118" s="88" t="n"/>
      <c r="E118" s="40" t="n"/>
      <c r="F118" s="41" t="n"/>
      <c r="G118" s="42" t="n"/>
      <c r="H118" s="128" t="n"/>
      <c r="I118" s="129" t="n"/>
      <c r="J118" s="129" t="n"/>
      <c r="K118" s="129" t="n"/>
      <c r="L118" s="129" t="n"/>
      <c r="M118" s="130" t="n"/>
      <c r="N118" s="129" t="n"/>
      <c r="O118" s="129" t="n"/>
      <c r="P118" s="130" t="n"/>
      <c r="Q118" s="130" t="n"/>
      <c r="R118" s="130" t="n"/>
      <c r="S118" s="130" t="n"/>
      <c r="T118" s="39" t="n"/>
      <c r="U118" s="46" t="n"/>
      <c r="V118" s="46" t="n"/>
      <c r="W118" s="39" t="n"/>
      <c r="X118" s="130" t="n"/>
      <c r="Y118" s="131" t="n"/>
      <c r="Z118" s="48" t="n"/>
      <c r="AA118" s="131" t="n"/>
    </row>
    <row r="119" customFormat="1" s="55">
      <c r="A119" s="36" t="n"/>
      <c r="B119" s="86" t="n"/>
      <c r="C119" s="87" t="n"/>
      <c r="D119" s="88" t="n"/>
      <c r="E119" s="40" t="n"/>
      <c r="F119" s="41" t="n"/>
      <c r="G119" s="42" t="n"/>
      <c r="H119" s="128" t="n"/>
      <c r="I119" s="129" t="n"/>
      <c r="J119" s="129" t="n"/>
      <c r="K119" s="129" t="n"/>
      <c r="L119" s="129" t="n"/>
      <c r="M119" s="130" t="n"/>
      <c r="N119" s="129" t="n"/>
      <c r="O119" s="129" t="n"/>
      <c r="P119" s="130" t="n"/>
      <c r="Q119" s="130" t="n"/>
      <c r="R119" s="130" t="n"/>
      <c r="S119" s="130" t="n"/>
      <c r="T119" s="39" t="n"/>
      <c r="U119" s="46" t="n"/>
      <c r="V119" s="46" t="n"/>
      <c r="W119" s="39" t="n"/>
      <c r="X119" s="130" t="n"/>
      <c r="Y119" s="131" t="n"/>
      <c r="Z119" s="48" t="n"/>
      <c r="AA119" s="131" t="n"/>
    </row>
    <row r="120">
      <c r="A120" s="36" t="n"/>
      <c r="B120" s="86" t="n"/>
      <c r="C120" s="87" t="n"/>
      <c r="D120" s="89" t="n"/>
      <c r="E120" s="40" t="n"/>
      <c r="F120" s="41" t="n"/>
      <c r="G120" s="42" t="n"/>
      <c r="H120" s="128" t="n"/>
      <c r="I120" s="129" t="n"/>
      <c r="J120" s="129" t="n"/>
      <c r="K120" s="129" t="n"/>
      <c r="L120" s="129" t="n"/>
      <c r="M120" s="130" t="n"/>
      <c r="N120" s="129" t="n"/>
      <c r="O120" s="129" t="n"/>
      <c r="P120" s="130" t="n"/>
      <c r="Q120" s="130" t="n"/>
      <c r="R120" s="130" t="n"/>
      <c r="S120" s="130" t="n"/>
      <c r="T120" s="39" t="n"/>
      <c r="U120" s="46" t="n"/>
      <c r="V120" s="46" t="n"/>
      <c r="W120" s="39" t="n"/>
      <c r="X120" s="130" t="n"/>
      <c r="Y120" s="131" t="n"/>
      <c r="Z120" s="48" t="n"/>
      <c r="AA120" s="131" t="n"/>
    </row>
    <row r="121">
      <c r="A121" s="36" t="n"/>
      <c r="B121" s="84" t="n"/>
      <c r="C121" s="88" t="n"/>
      <c r="D121" s="88" t="n"/>
      <c r="E121" s="40" t="n"/>
      <c r="F121" s="41" t="n"/>
      <c r="G121" s="42" t="n"/>
      <c r="H121" s="128" t="n"/>
      <c r="I121" s="129" t="n"/>
      <c r="J121" s="129" t="n"/>
      <c r="K121" s="129" t="n"/>
      <c r="L121" s="129" t="n"/>
      <c r="M121" s="130" t="n"/>
      <c r="N121" s="129" t="n"/>
      <c r="O121" s="129" t="n"/>
      <c r="P121" s="130" t="n"/>
      <c r="Q121" s="130" t="n"/>
      <c r="R121" s="130" t="n"/>
      <c r="S121" s="130" t="n"/>
      <c r="T121" s="39" t="n"/>
      <c r="U121" s="46" t="n"/>
      <c r="V121" s="46" t="n"/>
      <c r="W121" s="39" t="n"/>
      <c r="X121" s="130" t="n"/>
      <c r="Y121" s="131" t="n"/>
      <c r="Z121" s="48" t="n"/>
      <c r="AA121" s="131" t="n"/>
    </row>
    <row r="122">
      <c r="A122" s="36" t="n"/>
      <c r="B122" s="90" t="n"/>
      <c r="C122" s="91" t="n"/>
      <c r="D122" s="92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  <c r="AA122" s="85" t="n"/>
    </row>
    <row r="123"/>
    <row r="124"/>
    <row r="125"/>
    <row r="126"/>
    <row r="127"/>
    <row r="128"/>
    <row r="129"/>
  </sheetData>
  <autoFilter ref="A7:AA121"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2" hiddenButton="0" showButton="0"/>
  </autoFilter>
  <mergeCells count="28">
    <mergeCell ref="AA7:AA11"/>
    <mergeCell ref="M7:M11"/>
    <mergeCell ref="V8:V11"/>
    <mergeCell ref="X8:X11"/>
    <mergeCell ref="Y7:Y11"/>
    <mergeCell ref="H7:H11"/>
    <mergeCell ref="J7:J11"/>
    <mergeCell ref="E7:E11"/>
    <mergeCell ref="K7:K11"/>
    <mergeCell ref="P7:X7"/>
    <mergeCell ref="Q8:Q11"/>
    <mergeCell ref="S8:S11"/>
    <mergeCell ref="C7:C11"/>
    <mergeCell ref="P8:P11"/>
    <mergeCell ref="B7:B11"/>
    <mergeCell ref="L7:L11"/>
    <mergeCell ref="N7:N11"/>
    <mergeCell ref="O7:O11"/>
    <mergeCell ref="T8:T11"/>
    <mergeCell ref="U8:U11"/>
    <mergeCell ref="F7:F11"/>
    <mergeCell ref="A7:A11"/>
    <mergeCell ref="G7:G11"/>
    <mergeCell ref="I7:I11"/>
    <mergeCell ref="Z7:Z11"/>
    <mergeCell ref="W8:W11"/>
    <mergeCell ref="R8:R11"/>
    <mergeCell ref="D7:D11"/>
  </mergeCells>
  <conditionalFormatting sqref="C1:C11 C122:C1048576">
    <cfRule type="duplicateValues" priority="6" dxfId="3"/>
  </conditionalFormatting>
  <conditionalFormatting sqref="C91">
    <cfRule type="duplicateValues" priority="2" dxfId="0"/>
  </conditionalFormatting>
  <conditionalFormatting sqref="C95">
    <cfRule type="duplicateValues" priority="1" dxfId="0"/>
  </conditionalFormatting>
  <conditionalFormatting sqref="C57:C90 C92:C94">
    <cfRule type="duplicateValues" priority="3" dxfId="0"/>
  </conditionalFormatting>
  <conditionalFormatting sqref="B77:B94">
    <cfRule type="duplicateValues" priority="4" dxfId="3"/>
  </conditionalFormatting>
  <conditionalFormatting sqref="C96:C99">
    <cfRule type="duplicateValues" priority="5" dxfId="0"/>
  </conditionalFormatting>
  <conditionalFormatting sqref="B12:B76">
    <cfRule type="duplicateValues" priority="39" dxfId="3"/>
  </conditionalFormatting>
  <conditionalFormatting sqref="B12:B63">
    <cfRule type="duplicateValues" priority="40" dxfId="0"/>
    <cfRule type="duplicateValues" priority="41" dxfId="0"/>
    <cfRule type="duplicateValues" priority="42" dxfId="0"/>
  </conditionalFormatting>
  <conditionalFormatting sqref="C12:C56">
    <cfRule type="duplicateValues" priority="43" dxfId="0"/>
  </conditionalFormatting>
  <conditionalFormatting sqref="B12:B74">
    <cfRule type="duplicateValues" priority="44" dxfId="0"/>
    <cfRule type="duplicateValues" priority="45" dxfId="0"/>
    <cfRule type="duplicateValues" priority="46" dxfId="0"/>
  </conditionalFormatting>
  <conditionalFormatting sqref="B1:B11 B123:B1048576">
    <cfRule type="duplicateValues" priority="58" dxfId="3"/>
  </conditionalFormatting>
  <conditionalFormatting sqref="B123:B1048576">
    <cfRule type="duplicateValues" priority="61" dxfId="3"/>
  </conditionalFormatting>
  <conditionalFormatting sqref="B1:D11 B123:D1048576">
    <cfRule type="duplicateValues" priority="71" dxfId="0"/>
  </conditionalFormatting>
  <conditionalFormatting sqref="B123:D1048576">
    <cfRule type="duplicateValues" priority="77" dxfId="0"/>
  </conditionalFormatting>
  <conditionalFormatting sqref="C1:D11 C123:D1048576">
    <cfRule type="duplicateValues" priority="79" dxfId="0"/>
  </conditionalFormatting>
  <pageMargins left="0.7086614173228351" right="0.7086614173228351" top="0.19" bottom="0.29" header="0.15" footer="0.31496062992126"/>
  <pageSetup orientation="landscape" paperSize="9" scale="30" fitToHeight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5" customWidth="1" min="4" max="4"/>
    <col width="14" customWidth="1" min="5" max="5"/>
    <col width="12" customWidth="1" min="6" max="6"/>
    <col width="20" customWidth="1" min="7" max="7"/>
    <col width="22" customWidth="1" min="8" max="8"/>
    <col width="31" customWidth="1" min="9" max="9"/>
    <col width="14" customWidth="1" min="10" max="10"/>
  </cols>
  <sheetData>
    <row r="1">
      <c r="A1" s="132" t="inlineStr">
        <is>
          <t>Sr No</t>
        </is>
      </c>
      <c r="B1" s="132" t="inlineStr">
        <is>
          <t>Ticket No</t>
        </is>
      </c>
      <c r="C1" s="132" t="inlineStr">
        <is>
          <t>UAN NO</t>
        </is>
      </c>
      <c r="D1" s="132" t="inlineStr">
        <is>
          <t>Employee Name</t>
        </is>
      </c>
      <c r="E1" s="132" t="inlineStr">
        <is>
          <t>Department</t>
        </is>
      </c>
      <c r="F1" s="132" t="inlineStr">
        <is>
          <t>Unit Type</t>
        </is>
      </c>
      <c r="G1" s="132" t="inlineStr">
        <is>
          <t>Rate per Unit (₹)</t>
        </is>
      </c>
      <c r="H1" s="132" t="inlineStr">
        <is>
          <t>Total Qty Processed</t>
        </is>
      </c>
      <c r="I1" s="132" t="inlineStr">
        <is>
          <t>Calculated Load Earnings (₹)</t>
        </is>
      </c>
      <c r="J1" s="132" t="inlineStr">
        <is>
          <t>Days Worked</t>
        </is>
      </c>
    </row>
    <row r="2">
      <c r="A2" s="133" t="n">
        <v>1</v>
      </c>
      <c r="B2" s="133" t="inlineStr">
        <is>
          <t>KFIL/L1-407</t>
        </is>
      </c>
      <c r="C2" s="133" t="n">
        <v>101747190938</v>
      </c>
      <c r="D2" s="134" t="inlineStr">
        <is>
          <t>AKASH J TINGALE</t>
        </is>
      </c>
      <c r="E2" s="133" t="inlineStr">
        <is>
          <t>HE</t>
        </is>
      </c>
      <c r="F2" s="133" t="inlineStr">
        <is>
          <t>Tons</t>
        </is>
      </c>
      <c r="G2" s="135" t="n">
        <v>320</v>
      </c>
      <c r="H2" s="136" t="n">
        <v>61.001</v>
      </c>
      <c r="I2" s="135">
        <f>G2*H2</f>
        <v/>
      </c>
      <c r="J2" s="133" t="n">
        <v>19</v>
      </c>
    </row>
    <row r="3">
      <c r="A3" s="133" t="n">
        <v>2</v>
      </c>
      <c r="B3" s="133" t="inlineStr">
        <is>
          <t>KFIL/L1-410</t>
        </is>
      </c>
      <c r="C3" s="133" t="n">
        <v>102043325356</v>
      </c>
      <c r="D3" s="134" t="inlineStr">
        <is>
          <t>AKIB SADIK SHAIKH</t>
        </is>
      </c>
      <c r="E3" s="133" t="inlineStr">
        <is>
          <t>AVG</t>
        </is>
      </c>
      <c r="F3" s="133" t="inlineStr">
        <is>
          <t>Pieces</t>
        </is>
      </c>
      <c r="G3" s="135" t="n">
        <v>5</v>
      </c>
      <c r="H3" s="137" t="n">
        <v>3209</v>
      </c>
      <c r="I3" s="135">
        <f>G3*H3</f>
        <v/>
      </c>
      <c r="J3" s="133" t="n">
        <v>21</v>
      </c>
    </row>
    <row r="4">
      <c r="A4" s="133" t="n">
        <v>3</v>
      </c>
      <c r="B4" s="133" t="inlineStr">
        <is>
          <t>KFIL/L1-413</t>
        </is>
      </c>
      <c r="C4" s="133" t="n">
        <v>101509952020</v>
      </c>
      <c r="D4" s="134" t="inlineStr">
        <is>
          <t>AMOL TEJU RATHOD</t>
        </is>
      </c>
      <c r="E4" s="133" t="inlineStr">
        <is>
          <t>HE</t>
        </is>
      </c>
      <c r="F4" s="133" t="inlineStr">
        <is>
          <t>Tons</t>
        </is>
      </c>
      <c r="G4" s="135" t="n">
        <v>320</v>
      </c>
      <c r="H4" s="136" t="n">
        <v>66.877</v>
      </c>
      <c r="I4" s="135">
        <f>G4*H4</f>
        <v/>
      </c>
      <c r="J4" s="133" t="n">
        <v>26</v>
      </c>
    </row>
    <row r="5">
      <c r="A5" s="133" t="n">
        <v>4</v>
      </c>
      <c r="B5" s="133" t="inlineStr">
        <is>
          <t>KFIL/L1-415</t>
        </is>
      </c>
      <c r="C5" s="133" t="n">
        <v>101475240602</v>
      </c>
      <c r="D5" s="134" t="inlineStr">
        <is>
          <t>ANIL G MALI</t>
        </is>
      </c>
      <c r="E5" s="133" t="inlineStr">
        <is>
          <t>FINAL</t>
        </is>
      </c>
      <c r="F5" s="133" t="inlineStr">
        <is>
          <t>Tons</t>
        </is>
      </c>
      <c r="G5" s="135" t="n">
        <v>220</v>
      </c>
      <c r="H5" s="136" t="n">
        <v>81.633</v>
      </c>
      <c r="I5" s="135">
        <f>G5*H5</f>
        <v/>
      </c>
      <c r="J5" s="133" t="n">
        <v>18</v>
      </c>
    </row>
    <row r="6">
      <c r="A6" s="133" t="n">
        <v>5</v>
      </c>
      <c r="B6" s="133" t="inlineStr">
        <is>
          <t>KFIL/L1-416</t>
        </is>
      </c>
      <c r="C6" s="133" t="n">
        <v>101835374035</v>
      </c>
      <c r="D6" s="134" t="inlineStr">
        <is>
          <t>ANKUSH BHALE</t>
        </is>
      </c>
      <c r="E6" s="133" t="inlineStr">
        <is>
          <t>HE</t>
        </is>
      </c>
      <c r="F6" s="133" t="inlineStr">
        <is>
          <t>Tons</t>
        </is>
      </c>
      <c r="G6" s="135" t="n">
        <v>320</v>
      </c>
      <c r="H6" s="136" t="n">
        <v>75.995</v>
      </c>
      <c r="I6" s="135">
        <f>G6*H6</f>
        <v/>
      </c>
      <c r="J6" s="133" t="n">
        <v>18</v>
      </c>
    </row>
    <row r="7">
      <c r="A7" s="133" t="n">
        <v>6</v>
      </c>
      <c r="B7" s="133" t="inlineStr">
        <is>
          <t>KFIL/L1-417</t>
        </is>
      </c>
      <c r="C7" s="133" t="n">
        <v>102025154331</v>
      </c>
      <c r="D7" s="134" t="inlineStr">
        <is>
          <t>ARBAJ AMIN JAMADAR</t>
        </is>
      </c>
      <c r="E7" s="133" t="inlineStr">
        <is>
          <t>REWORK</t>
        </is>
      </c>
      <c r="F7" s="133" t="inlineStr">
        <is>
          <t>Pieces</t>
        </is>
      </c>
      <c r="G7" s="135" t="n">
        <v>4.9</v>
      </c>
      <c r="H7" s="137" t="n">
        <v>4206</v>
      </c>
      <c r="I7" s="135">
        <f>G7*H7</f>
        <v/>
      </c>
      <c r="J7" s="133" t="n">
        <v>26</v>
      </c>
    </row>
    <row r="8">
      <c r="A8" s="133" t="n">
        <v>7</v>
      </c>
      <c r="B8" s="133" t="inlineStr">
        <is>
          <t>KFIL/L1-418</t>
        </is>
      </c>
      <c r="C8" s="133" t="n">
        <v>101281737627</v>
      </c>
      <c r="D8" s="134" t="inlineStr">
        <is>
          <t>AVINASH   PATANGE</t>
        </is>
      </c>
      <c r="E8" s="133" t="inlineStr">
        <is>
          <t>AVG</t>
        </is>
      </c>
      <c r="F8" s="133" t="inlineStr">
        <is>
          <t>Pieces</t>
        </is>
      </c>
      <c r="G8" s="135" t="n">
        <v>5</v>
      </c>
      <c r="H8" s="137" t="n">
        <v>4554</v>
      </c>
      <c r="I8" s="135">
        <f>G8*H8</f>
        <v/>
      </c>
      <c r="J8" s="133" t="n">
        <v>22</v>
      </c>
    </row>
    <row r="9">
      <c r="A9" s="133" t="n">
        <v>8</v>
      </c>
      <c r="B9" s="133" t="inlineStr">
        <is>
          <t>KFIL/L1-420</t>
        </is>
      </c>
      <c r="C9" s="133" t="n">
        <v>102143026061</v>
      </c>
      <c r="D9" s="134" t="inlineStr">
        <is>
          <t>BADIGER RAJKUMAR</t>
        </is>
      </c>
      <c r="E9" s="133" t="inlineStr">
        <is>
          <t>HE</t>
        </is>
      </c>
      <c r="F9" s="133" t="inlineStr">
        <is>
          <t>Tons</t>
        </is>
      </c>
      <c r="G9" s="135" t="n">
        <v>320</v>
      </c>
      <c r="H9" s="136" t="n">
        <v>61.115</v>
      </c>
      <c r="I9" s="135">
        <f>G9*H9</f>
        <v/>
      </c>
      <c r="J9" s="133" t="n">
        <v>20</v>
      </c>
    </row>
    <row r="10">
      <c r="A10" s="133" t="n">
        <v>9</v>
      </c>
      <c r="B10" s="133" t="inlineStr">
        <is>
          <t>KFIL/L1-421</t>
        </is>
      </c>
      <c r="C10" s="133" t="n">
        <v>101623086404</v>
      </c>
      <c r="D10" s="134" t="inlineStr">
        <is>
          <t>BANDENAWAJ SAIPAN MULLA</t>
        </is>
      </c>
      <c r="E10" s="133" t="inlineStr">
        <is>
          <t>AVG</t>
        </is>
      </c>
      <c r="F10" s="133" t="inlineStr">
        <is>
          <t>Pieces</t>
        </is>
      </c>
      <c r="G10" s="135" t="n">
        <v>5</v>
      </c>
      <c r="H10" s="137" t="n">
        <v>3209</v>
      </c>
      <c r="I10" s="135">
        <f>G10*H10</f>
        <v/>
      </c>
      <c r="J10" s="133" t="n">
        <v>21</v>
      </c>
    </row>
    <row r="11">
      <c r="A11" s="133" t="n">
        <v>10</v>
      </c>
      <c r="B11" s="133" t="inlineStr">
        <is>
          <t>KFIL/L1-422</t>
        </is>
      </c>
      <c r="C11" s="133" t="n">
        <v>102028098436</v>
      </c>
      <c r="D11" s="134" t="inlineStr">
        <is>
          <t>BSAVRAJ IRANNA TALWAR</t>
        </is>
      </c>
      <c r="E11" s="133" t="inlineStr">
        <is>
          <t>AVG</t>
        </is>
      </c>
      <c r="F11" s="133" t="inlineStr">
        <is>
          <t>Pieces</t>
        </is>
      </c>
      <c r="G11" s="135" t="n">
        <v>5</v>
      </c>
      <c r="H11" s="137" t="n">
        <v>3735</v>
      </c>
      <c r="I11" s="135">
        <f>G11*H11</f>
        <v/>
      </c>
      <c r="J11" s="133" t="n">
        <v>19</v>
      </c>
    </row>
    <row r="12">
      <c r="A12" s="133" t="n">
        <v>11</v>
      </c>
      <c r="B12" s="133" t="inlineStr">
        <is>
          <t>KFIL/L1-423</t>
        </is>
      </c>
      <c r="C12" s="133" t="n">
        <v>102062761038</v>
      </c>
      <c r="D12" s="134" t="inlineStr">
        <is>
          <t>BASAVRAJ SHIVANNA KOLI</t>
        </is>
      </c>
      <c r="E12" s="133" t="inlineStr">
        <is>
          <t>PAINTER</t>
        </is>
      </c>
      <c r="F12" s="133" t="inlineStr">
        <is>
          <t>Pieces</t>
        </is>
      </c>
      <c r="G12" s="135" t="n">
        <v>6</v>
      </c>
      <c r="H12" s="137" t="n">
        <v>2588</v>
      </c>
      <c r="I12" s="135">
        <f>G12*H12</f>
        <v/>
      </c>
      <c r="J12" s="133" t="n">
        <v>23</v>
      </c>
    </row>
    <row r="13">
      <c r="A13" s="133" t="n">
        <v>12</v>
      </c>
      <c r="B13" s="133" t="inlineStr">
        <is>
          <t>KFIL/L1-424</t>
        </is>
      </c>
      <c r="C13" s="133" t="n">
        <v>101966176359</v>
      </c>
      <c r="D13" s="134" t="inlineStr">
        <is>
          <t>BASAVARAJ SHRISHAIL SODDE</t>
        </is>
      </c>
      <c r="E13" s="133" t="inlineStr">
        <is>
          <t>PAINTER</t>
        </is>
      </c>
      <c r="F13" s="133" t="inlineStr">
        <is>
          <t>Pieces</t>
        </is>
      </c>
      <c r="G13" s="135" t="n">
        <v>6</v>
      </c>
      <c r="H13" s="137" t="n">
        <v>2661</v>
      </c>
      <c r="I13" s="135">
        <f>G13*H13</f>
        <v/>
      </c>
      <c r="J13" s="133" t="n">
        <v>25</v>
      </c>
    </row>
    <row r="14">
      <c r="A14" s="133" t="n">
        <v>13</v>
      </c>
      <c r="B14" s="133" t="inlineStr">
        <is>
          <t>KFIL/L1-427</t>
        </is>
      </c>
      <c r="C14" s="133" t="n">
        <v>101972731570</v>
      </c>
      <c r="D14" s="134" t="inlineStr">
        <is>
          <t>BHARAT SARADE</t>
        </is>
      </c>
      <c r="E14" s="133" t="inlineStr">
        <is>
          <t>PAINTER</t>
        </is>
      </c>
      <c r="F14" s="133" t="inlineStr">
        <is>
          <t>Pieces</t>
        </is>
      </c>
      <c r="G14" s="135" t="n">
        <v>6</v>
      </c>
      <c r="H14" s="137" t="n">
        <v>3787</v>
      </c>
      <c r="I14" s="135">
        <f>G14*H14</f>
        <v/>
      </c>
      <c r="J14" s="133" t="n">
        <v>26</v>
      </c>
    </row>
    <row r="15">
      <c r="A15" s="133" t="n">
        <v>14</v>
      </c>
      <c r="B15" s="133" t="inlineStr">
        <is>
          <t>KFIL/L1-428</t>
        </is>
      </c>
      <c r="C15" s="133" t="n">
        <v>102004077854</v>
      </c>
      <c r="D15" s="134" t="inlineStr">
        <is>
          <t>BHIMASHANKAR ISHWARKATTI</t>
        </is>
      </c>
      <c r="E15" s="133" t="inlineStr">
        <is>
          <t>FINAL</t>
        </is>
      </c>
      <c r="F15" s="133" t="inlineStr">
        <is>
          <t>Tons</t>
        </is>
      </c>
      <c r="G15" s="135" t="n">
        <v>220</v>
      </c>
      <c r="H15" s="136" t="n">
        <v>73.47799999999999</v>
      </c>
      <c r="I15" s="135">
        <f>G15*H15</f>
        <v/>
      </c>
      <c r="J15" s="133" t="n">
        <v>23</v>
      </c>
    </row>
    <row r="16">
      <c r="A16" s="133" t="n">
        <v>15</v>
      </c>
      <c r="B16" s="133" t="inlineStr">
        <is>
          <t>KFIL/L1-429</t>
        </is>
      </c>
      <c r="C16" s="133" t="n">
        <v>101410043453</v>
      </c>
      <c r="D16" s="134" t="inlineStr">
        <is>
          <t>CHITAMANI S KADERKAR</t>
        </is>
      </c>
      <c r="E16" s="133" t="inlineStr">
        <is>
          <t>FINAL</t>
        </is>
      </c>
      <c r="F16" s="133" t="inlineStr">
        <is>
          <t>Tons</t>
        </is>
      </c>
      <c r="G16" s="135" t="n">
        <v>220</v>
      </c>
      <c r="H16" s="136" t="n">
        <v>112.766</v>
      </c>
      <c r="I16" s="135">
        <f>G16*H16</f>
        <v/>
      </c>
      <c r="J16" s="133" t="n">
        <v>21</v>
      </c>
    </row>
    <row r="17">
      <c r="A17" s="133" t="n">
        <v>16</v>
      </c>
      <c r="B17" s="133" t="inlineStr">
        <is>
          <t>KFIL/L1-430</t>
        </is>
      </c>
      <c r="C17" s="133" t="n">
        <v>101388345766</v>
      </c>
      <c r="D17" s="134" t="inlineStr">
        <is>
          <t>RUSHIKESH CHANDRAKANT CHOUGULE</t>
        </is>
      </c>
      <c r="E17" s="133" t="inlineStr">
        <is>
          <t>REWORK</t>
        </is>
      </c>
      <c r="F17" s="133" t="inlineStr">
        <is>
          <t>Pieces</t>
        </is>
      </c>
      <c r="G17" s="135" t="n">
        <v>4.9</v>
      </c>
      <c r="H17" s="137" t="n">
        <v>3928</v>
      </c>
      <c r="I17" s="135">
        <f>G17*H17</f>
        <v/>
      </c>
      <c r="J17" s="133" t="n">
        <v>19</v>
      </c>
    </row>
    <row r="18">
      <c r="A18" s="133" t="n">
        <v>17</v>
      </c>
      <c r="B18" s="133" t="inlineStr">
        <is>
          <t>KFIL/L1-431</t>
        </is>
      </c>
      <c r="C18" s="133" t="n">
        <v>100590315745</v>
      </c>
      <c r="D18" s="134" t="inlineStr">
        <is>
          <t>DRAGAPPA ARWAT</t>
        </is>
      </c>
      <c r="E18" s="133" t="inlineStr">
        <is>
          <t>AVG</t>
        </is>
      </c>
      <c r="F18" s="133" t="inlineStr">
        <is>
          <t>Pieces</t>
        </is>
      </c>
      <c r="G18" s="135" t="n">
        <v>5</v>
      </c>
      <c r="H18" s="137" t="n">
        <v>3727</v>
      </c>
      <c r="I18" s="135">
        <f>G18*H18</f>
        <v/>
      </c>
      <c r="J18" s="133" t="n">
        <v>23</v>
      </c>
    </row>
    <row r="19">
      <c r="A19" s="133" t="n">
        <v>18</v>
      </c>
      <c r="B19" s="133" t="inlineStr">
        <is>
          <t>KFIL/L1-432</t>
        </is>
      </c>
      <c r="C19" s="133" t="n">
        <v>101391642731</v>
      </c>
      <c r="D19" s="134" t="inlineStr">
        <is>
          <t>DATTATRAY WAGHMODE</t>
        </is>
      </c>
      <c r="E19" s="133" t="inlineStr">
        <is>
          <t>HE</t>
        </is>
      </c>
      <c r="F19" s="133" t="inlineStr">
        <is>
          <t>Tons</t>
        </is>
      </c>
      <c r="G19" s="135" t="n">
        <v>320</v>
      </c>
      <c r="H19" s="136" t="n">
        <v>87.46599999999999</v>
      </c>
      <c r="I19" s="135">
        <f>G19*H19</f>
        <v/>
      </c>
      <c r="J19" s="133" t="n">
        <v>21</v>
      </c>
    </row>
    <row r="20">
      <c r="A20" s="133" t="n">
        <v>19</v>
      </c>
      <c r="B20" s="133" t="inlineStr">
        <is>
          <t>KFIL/L1-433</t>
        </is>
      </c>
      <c r="C20" s="133" t="n">
        <v>101951607402</v>
      </c>
      <c r="D20" s="134" t="inlineStr">
        <is>
          <t>DAVALSAB NADHAF</t>
        </is>
      </c>
      <c r="E20" s="133" t="inlineStr">
        <is>
          <t>AVG</t>
        </is>
      </c>
      <c r="F20" s="133" t="inlineStr">
        <is>
          <t>Pieces</t>
        </is>
      </c>
      <c r="G20" s="135" t="n">
        <v>5</v>
      </c>
      <c r="H20" s="137" t="n">
        <v>4093</v>
      </c>
      <c r="I20" s="135">
        <f>G20*H20</f>
        <v/>
      </c>
      <c r="J20" s="133" t="n">
        <v>19</v>
      </c>
    </row>
    <row r="21">
      <c r="A21" s="133" t="n">
        <v>20</v>
      </c>
      <c r="B21" s="133" t="inlineStr">
        <is>
          <t>KFIL/L1-436</t>
        </is>
      </c>
      <c r="C21" s="133" t="n">
        <v>102053057886</v>
      </c>
      <c r="D21" s="134" t="inlineStr">
        <is>
          <t xml:space="preserve">DINESH VASANT SALGAR </t>
        </is>
      </c>
      <c r="E21" s="133" t="inlineStr">
        <is>
          <t>HE</t>
        </is>
      </c>
      <c r="F21" s="133" t="inlineStr">
        <is>
          <t>Tons</t>
        </is>
      </c>
      <c r="G21" s="135" t="n">
        <v>320</v>
      </c>
      <c r="H21" s="136" t="n">
        <v>65.178</v>
      </c>
      <c r="I21" s="135">
        <f>G21*H21</f>
        <v/>
      </c>
      <c r="J21" s="133" t="n">
        <v>21</v>
      </c>
    </row>
    <row r="22">
      <c r="A22" s="133" t="n">
        <v>21</v>
      </c>
      <c r="B22" s="133" t="inlineStr">
        <is>
          <t>KFIL/L1-437</t>
        </is>
      </c>
      <c r="C22" s="133" t="n">
        <v>102052667942</v>
      </c>
      <c r="D22" s="134" t="inlineStr">
        <is>
          <t>DIPAK DATTRAY KUMBHAR</t>
        </is>
      </c>
      <c r="E22" s="133" t="inlineStr">
        <is>
          <t>FINAL</t>
        </is>
      </c>
      <c r="F22" s="133" t="inlineStr">
        <is>
          <t>Tons</t>
        </is>
      </c>
      <c r="G22" s="135" t="n">
        <v>220</v>
      </c>
      <c r="H22" s="136" t="n">
        <v>86.214</v>
      </c>
      <c r="I22" s="135">
        <f>G22*H22</f>
        <v/>
      </c>
      <c r="J22" s="133" t="n">
        <v>26</v>
      </c>
    </row>
    <row r="23">
      <c r="A23" s="133" t="n">
        <v>22</v>
      </c>
      <c r="B23" s="133" t="inlineStr">
        <is>
          <t>KFIL/L1-439</t>
        </is>
      </c>
      <c r="C23" s="133" t="n">
        <v>102081665259</v>
      </c>
      <c r="D23" s="134" t="inlineStr">
        <is>
          <t>SIDHRAM DOMBE</t>
        </is>
      </c>
      <c r="E23" s="133" t="inlineStr">
        <is>
          <t>REWORK</t>
        </is>
      </c>
      <c r="F23" s="133" t="inlineStr">
        <is>
          <t>Pieces</t>
        </is>
      </c>
      <c r="G23" s="135" t="n">
        <v>4.9</v>
      </c>
      <c r="H23" s="137" t="n">
        <v>3065</v>
      </c>
      <c r="I23" s="135">
        <f>G23*H23</f>
        <v/>
      </c>
      <c r="J23" s="133" t="n">
        <v>18</v>
      </c>
    </row>
    <row r="24">
      <c r="A24" s="133" t="n">
        <v>23</v>
      </c>
      <c r="B24" s="133" t="inlineStr">
        <is>
          <t>KFIL/L1-440</t>
        </is>
      </c>
      <c r="C24" s="133" t="n">
        <v>101678665637</v>
      </c>
      <c r="D24" s="134" t="inlineStr">
        <is>
          <t>GENSIDHHA AMASIDHHA VAMANE</t>
        </is>
      </c>
      <c r="E24" s="133" t="inlineStr">
        <is>
          <t>PAINTER</t>
        </is>
      </c>
      <c r="F24" s="133" t="inlineStr">
        <is>
          <t>Pieces</t>
        </is>
      </c>
      <c r="G24" s="135" t="n">
        <v>6</v>
      </c>
      <c r="H24" s="137" t="n">
        <v>2932</v>
      </c>
      <c r="I24" s="135">
        <f>G24*H24</f>
        <v/>
      </c>
      <c r="J24" s="133" t="n">
        <v>23</v>
      </c>
    </row>
    <row r="25">
      <c r="A25" s="133" t="n">
        <v>24</v>
      </c>
      <c r="B25" s="133" t="inlineStr">
        <is>
          <t>KFIL/L1-441</t>
        </is>
      </c>
      <c r="C25" s="133" t="n">
        <v>100450352070</v>
      </c>
      <c r="D25" s="134" t="inlineStr">
        <is>
          <t>SACHIN GHANTE</t>
        </is>
      </c>
      <c r="E25" s="133" t="inlineStr">
        <is>
          <t>REWORK</t>
        </is>
      </c>
      <c r="F25" s="133" t="inlineStr">
        <is>
          <t>Pieces</t>
        </is>
      </c>
      <c r="G25" s="135" t="n">
        <v>4.9</v>
      </c>
      <c r="H25" s="137" t="n">
        <v>4022</v>
      </c>
      <c r="I25" s="135">
        <f>G25*H25</f>
        <v/>
      </c>
      <c r="J25" s="133" t="n">
        <v>23</v>
      </c>
    </row>
    <row r="26">
      <c r="A26" s="133" t="n">
        <v>25</v>
      </c>
      <c r="B26" s="133" t="inlineStr">
        <is>
          <t>KFIL/L1-442</t>
        </is>
      </c>
      <c r="C26" s="133" t="n">
        <v>101826609019</v>
      </c>
      <c r="D26" s="134" t="inlineStr">
        <is>
          <t>GIRESH S MADYAL</t>
        </is>
      </c>
      <c r="E26" s="133" t="inlineStr">
        <is>
          <t>FINAL</t>
        </is>
      </c>
      <c r="F26" s="133" t="inlineStr">
        <is>
          <t>Tons</t>
        </is>
      </c>
      <c r="G26" s="135" t="n">
        <v>220</v>
      </c>
      <c r="H26" s="136" t="n">
        <v>92.943</v>
      </c>
      <c r="I26" s="135">
        <f>G26*H26</f>
        <v/>
      </c>
      <c r="J26" s="133" t="n">
        <v>24</v>
      </c>
    </row>
    <row r="27">
      <c r="A27" s="133" t="n">
        <v>26</v>
      </c>
      <c r="B27" s="133" t="inlineStr">
        <is>
          <t>KFIL/L1-443</t>
        </is>
      </c>
      <c r="C27" s="133" t="n">
        <v>102209140373</v>
      </c>
      <c r="D27" s="134" t="inlineStr">
        <is>
          <t>HARUN MULLA</t>
        </is>
      </c>
      <c r="E27" s="133" t="inlineStr">
        <is>
          <t>HE</t>
        </is>
      </c>
      <c r="F27" s="133" t="inlineStr">
        <is>
          <t>Tons</t>
        </is>
      </c>
      <c r="G27" s="135" t="n">
        <v>320</v>
      </c>
      <c r="H27" s="136" t="n">
        <v>79.8</v>
      </c>
      <c r="I27" s="135">
        <f>G27*H27</f>
        <v/>
      </c>
      <c r="J27" s="133" t="n">
        <v>22</v>
      </c>
    </row>
    <row r="28">
      <c r="A28" s="133" t="n">
        <v>27</v>
      </c>
      <c r="B28" s="133" t="inlineStr">
        <is>
          <t>KFIL/L1-444</t>
        </is>
      </c>
      <c r="C28" s="133" t="n">
        <v>101969547233</v>
      </c>
      <c r="D28" s="134" t="inlineStr">
        <is>
          <t>NANDURE HEMANT ANAVIRAPPA</t>
        </is>
      </c>
      <c r="E28" s="133" t="inlineStr">
        <is>
          <t>AVG</t>
        </is>
      </c>
      <c r="F28" s="133" t="inlineStr">
        <is>
          <t>Pieces</t>
        </is>
      </c>
      <c r="G28" s="135" t="n">
        <v>5</v>
      </c>
      <c r="H28" s="137" t="n">
        <v>4197</v>
      </c>
      <c r="I28" s="135">
        <f>G28*H28</f>
        <v/>
      </c>
      <c r="J28" s="133" t="n">
        <v>26</v>
      </c>
    </row>
    <row r="29">
      <c r="A29" s="133" t="n">
        <v>28</v>
      </c>
      <c r="B29" s="133" t="inlineStr">
        <is>
          <t>KFIL/L1-445</t>
        </is>
      </c>
      <c r="C29" s="133" t="n">
        <v>102190249257</v>
      </c>
      <c r="D29" s="134" t="inlineStr">
        <is>
          <t>YUVRAJ MALAKARI HIKKURE</t>
        </is>
      </c>
      <c r="E29" s="133" t="inlineStr">
        <is>
          <t>HE</t>
        </is>
      </c>
      <c r="F29" s="133" t="inlineStr">
        <is>
          <t>Tons</t>
        </is>
      </c>
      <c r="G29" s="135" t="n">
        <v>320</v>
      </c>
      <c r="H29" s="136" t="n">
        <v>64.48</v>
      </c>
      <c r="I29" s="135">
        <f>G29*H29</f>
        <v/>
      </c>
      <c r="J29" s="133" t="n">
        <v>24</v>
      </c>
    </row>
    <row r="30">
      <c r="A30" s="133" t="n">
        <v>29</v>
      </c>
      <c r="B30" s="133" t="inlineStr">
        <is>
          <t>KFIL/L1-446</t>
        </is>
      </c>
      <c r="C30" s="133" t="n">
        <v>102053057864</v>
      </c>
      <c r="D30" s="134" t="inlineStr">
        <is>
          <t>JAVED AJMODDIN NADAF</t>
        </is>
      </c>
      <c r="E30" s="133" t="inlineStr">
        <is>
          <t>YANMAR LINE</t>
        </is>
      </c>
      <c r="F30" s="133" t="inlineStr">
        <is>
          <t>Pieces</t>
        </is>
      </c>
      <c r="G30" s="135" t="n">
        <v>28</v>
      </c>
      <c r="H30" s="137" t="n">
        <v>986</v>
      </c>
      <c r="I30" s="135">
        <f>G30*H30</f>
        <v/>
      </c>
      <c r="J30" s="133" t="n">
        <v>20</v>
      </c>
    </row>
    <row r="31">
      <c r="A31" s="133" t="n">
        <v>30</v>
      </c>
      <c r="B31" s="133" t="inlineStr">
        <is>
          <t>KFIL/L1-447</t>
        </is>
      </c>
      <c r="C31" s="133" t="n">
        <v>101603294918</v>
      </c>
      <c r="D31" s="134" t="inlineStr">
        <is>
          <t>JETINDAR S KOLI</t>
        </is>
      </c>
      <c r="E31" s="133" t="inlineStr">
        <is>
          <t>FINAL</t>
        </is>
      </c>
      <c r="F31" s="133" t="inlineStr">
        <is>
          <t>Tons</t>
        </is>
      </c>
      <c r="G31" s="135" t="n">
        <v>220</v>
      </c>
      <c r="H31" s="136" t="n">
        <v>101.372</v>
      </c>
      <c r="I31" s="135">
        <f>G31*H31</f>
        <v/>
      </c>
      <c r="J31" s="133" t="n">
        <v>18</v>
      </c>
    </row>
    <row r="32">
      <c r="A32" s="133" t="n">
        <v>31</v>
      </c>
      <c r="B32" s="133" t="inlineStr">
        <is>
          <t>KFIL/L1-448</t>
        </is>
      </c>
      <c r="C32" s="133" t="n">
        <v>101520450548</v>
      </c>
      <c r="D32" s="134" t="inlineStr">
        <is>
          <t>KASHINATH ABHIMANU PATIL</t>
        </is>
      </c>
      <c r="E32" s="133" t="inlineStr">
        <is>
          <t>HE</t>
        </is>
      </c>
      <c r="F32" s="133" t="inlineStr">
        <is>
          <t>Tons</t>
        </is>
      </c>
      <c r="G32" s="135" t="n">
        <v>320</v>
      </c>
      <c r="H32" s="136" t="n">
        <v>65.265</v>
      </c>
      <c r="I32" s="135">
        <f>G32*H32</f>
        <v/>
      </c>
      <c r="J32" s="133" t="n">
        <v>24</v>
      </c>
    </row>
    <row r="33">
      <c r="A33" s="133" t="n">
        <v>32</v>
      </c>
      <c r="B33" s="133" t="inlineStr">
        <is>
          <t>KFIL/L1-449</t>
        </is>
      </c>
      <c r="C33" s="133" t="n">
        <v>101818174092</v>
      </c>
      <c r="D33" s="134" t="inlineStr">
        <is>
          <t>KASHINATH J BIRAJADAR</t>
        </is>
      </c>
      <c r="E33" s="133" t="inlineStr">
        <is>
          <t>FINAL</t>
        </is>
      </c>
      <c r="F33" s="133" t="inlineStr">
        <is>
          <t>Tons</t>
        </is>
      </c>
      <c r="G33" s="135" t="n">
        <v>220</v>
      </c>
      <c r="H33" s="136" t="n">
        <v>113.039</v>
      </c>
      <c r="I33" s="135">
        <f>G33*H33</f>
        <v/>
      </c>
      <c r="J33" s="133" t="n">
        <v>25</v>
      </c>
    </row>
    <row r="34">
      <c r="A34" s="133" t="n">
        <v>33</v>
      </c>
      <c r="B34" s="133" t="inlineStr">
        <is>
          <t>KFIL/L1-450</t>
        </is>
      </c>
      <c r="C34" s="133" t="n">
        <v>101373078654</v>
      </c>
      <c r="D34" s="134" t="inlineStr">
        <is>
          <t>KHALID ILAI SHAIKH</t>
        </is>
      </c>
      <c r="E34" s="133" t="inlineStr">
        <is>
          <t>HE</t>
        </is>
      </c>
      <c r="F34" s="133" t="inlineStr">
        <is>
          <t>Tons</t>
        </is>
      </c>
      <c r="G34" s="135" t="n">
        <v>320</v>
      </c>
      <c r="H34" s="136" t="n">
        <v>77.268</v>
      </c>
      <c r="I34" s="135">
        <f>G34*H34</f>
        <v/>
      </c>
      <c r="J34" s="133" t="n">
        <v>18</v>
      </c>
    </row>
    <row r="35">
      <c r="A35" s="133" t="n">
        <v>34</v>
      </c>
      <c r="B35" s="133" t="inlineStr">
        <is>
          <t>KFIL/L1-452</t>
        </is>
      </c>
      <c r="C35" s="133" t="n">
        <v>102086533444</v>
      </c>
      <c r="D35" s="134" t="inlineStr">
        <is>
          <t>SANDIP CHANDRAKANT KHATAL</t>
        </is>
      </c>
      <c r="E35" s="133" t="inlineStr">
        <is>
          <t>HE</t>
        </is>
      </c>
      <c r="F35" s="133" t="inlineStr">
        <is>
          <t>Tons</t>
        </is>
      </c>
      <c r="G35" s="135" t="n">
        <v>320</v>
      </c>
      <c r="H35" s="136" t="n">
        <v>75.63800000000001</v>
      </c>
      <c r="I35" s="135">
        <f>G35*H35</f>
        <v/>
      </c>
      <c r="J35" s="133" t="n">
        <v>26</v>
      </c>
    </row>
    <row r="36">
      <c r="A36" s="133" t="n">
        <v>35</v>
      </c>
      <c r="B36" s="133" t="inlineStr">
        <is>
          <t>KFIL/L1-453</t>
        </is>
      </c>
      <c r="C36" s="133" t="n">
        <v>102120964651</v>
      </c>
      <c r="D36" s="134" t="inlineStr">
        <is>
          <t>KHAJASAHEB GULAB HIMONE</t>
        </is>
      </c>
      <c r="E36" s="133" t="inlineStr">
        <is>
          <t>FINAL</t>
        </is>
      </c>
      <c r="F36" s="133" t="inlineStr">
        <is>
          <t>Tons</t>
        </is>
      </c>
      <c r="G36" s="135" t="n">
        <v>220</v>
      </c>
      <c r="H36" s="136" t="n">
        <v>77.908</v>
      </c>
      <c r="I36" s="135">
        <f>G36*H36</f>
        <v/>
      </c>
      <c r="J36" s="133" t="n">
        <v>19</v>
      </c>
    </row>
    <row r="37">
      <c r="A37" s="133" t="n">
        <v>36</v>
      </c>
      <c r="B37" s="133" t="inlineStr">
        <is>
          <t>KFIL/L1-456</t>
        </is>
      </c>
      <c r="C37" s="133" t="n">
        <v>102032852951</v>
      </c>
      <c r="D37" s="134" t="inlineStr">
        <is>
          <t>PRAKASH</t>
        </is>
      </c>
      <c r="E37" s="133" t="inlineStr">
        <is>
          <t>PAINTER</t>
        </is>
      </c>
      <c r="F37" s="133" t="inlineStr">
        <is>
          <t>Pieces</t>
        </is>
      </c>
      <c r="G37" s="135" t="n">
        <v>6</v>
      </c>
      <c r="H37" s="137" t="n">
        <v>3039</v>
      </c>
      <c r="I37" s="135">
        <f>G37*H37</f>
        <v/>
      </c>
      <c r="J37" s="133" t="n">
        <v>18</v>
      </c>
    </row>
    <row r="38">
      <c r="A38" s="133" t="n">
        <v>37</v>
      </c>
      <c r="B38" s="133" t="inlineStr">
        <is>
          <t>KFIL/L1-458</t>
        </is>
      </c>
      <c r="C38" s="133" t="n">
        <v>102090872186</v>
      </c>
      <c r="D38" s="134" t="inlineStr">
        <is>
          <t>MAHESH BABUSHA LANDAGE</t>
        </is>
      </c>
      <c r="E38" s="133" t="inlineStr">
        <is>
          <t>AVG</t>
        </is>
      </c>
      <c r="F38" s="133" t="inlineStr">
        <is>
          <t>Pieces</t>
        </is>
      </c>
      <c r="G38" s="135" t="n">
        <v>5</v>
      </c>
      <c r="H38" s="137" t="n">
        <v>4869</v>
      </c>
      <c r="I38" s="135">
        <f>G38*H38</f>
        <v/>
      </c>
      <c r="J38" s="133" t="n">
        <v>26</v>
      </c>
    </row>
    <row r="39">
      <c r="A39" s="133" t="n">
        <v>38</v>
      </c>
      <c r="B39" s="133" t="inlineStr">
        <is>
          <t>KFIL/L1-460</t>
        </is>
      </c>
      <c r="C39" s="133" t="n">
        <v>101522138160</v>
      </c>
      <c r="D39" s="134" t="inlineStr">
        <is>
          <t>MALLINATH SHIVARAM VHANAKADE</t>
        </is>
      </c>
      <c r="E39" s="133" t="inlineStr">
        <is>
          <t>HE</t>
        </is>
      </c>
      <c r="F39" s="133" t="inlineStr">
        <is>
          <t>Tons</t>
        </is>
      </c>
      <c r="G39" s="135" t="n">
        <v>320</v>
      </c>
      <c r="H39" s="136" t="n">
        <v>83.667</v>
      </c>
      <c r="I39" s="135">
        <f>G39*H39</f>
        <v/>
      </c>
      <c r="J39" s="133" t="n">
        <v>19</v>
      </c>
    </row>
    <row r="40">
      <c r="A40" s="133" t="n">
        <v>39</v>
      </c>
      <c r="B40" s="133" t="inlineStr">
        <is>
          <t>KFIL/L1-461</t>
        </is>
      </c>
      <c r="C40" s="133" t="n">
        <v>101084612898</v>
      </c>
      <c r="D40" s="134" t="inlineStr">
        <is>
          <t>MANGESH NAVNATH ANKUSHRAO</t>
        </is>
      </c>
      <c r="E40" s="133" t="inlineStr">
        <is>
          <t>HE</t>
        </is>
      </c>
      <c r="F40" s="133" t="inlineStr">
        <is>
          <t>Tons</t>
        </is>
      </c>
      <c r="G40" s="135" t="n">
        <v>320</v>
      </c>
      <c r="H40" s="136" t="n">
        <v>64.95699999999999</v>
      </c>
      <c r="I40" s="135">
        <f>G40*H40</f>
        <v/>
      </c>
      <c r="J40" s="133" t="n">
        <v>26</v>
      </c>
    </row>
    <row r="41">
      <c r="A41" s="133" t="n">
        <v>40</v>
      </c>
      <c r="B41" s="133" t="inlineStr">
        <is>
          <t>KFIL/L1-462</t>
        </is>
      </c>
      <c r="C41" s="133" t="n">
        <v>101732689727</v>
      </c>
      <c r="D41" s="134" t="inlineStr">
        <is>
          <t>MOIN GULAB MULLA</t>
        </is>
      </c>
      <c r="E41" s="133" t="inlineStr">
        <is>
          <t>HE</t>
        </is>
      </c>
      <c r="F41" s="133" t="inlineStr">
        <is>
          <t>Tons</t>
        </is>
      </c>
      <c r="G41" s="135" t="n">
        <v>320</v>
      </c>
      <c r="H41" s="136" t="n">
        <v>86.89700000000001</v>
      </c>
      <c r="I41" s="135">
        <f>G41*H41</f>
        <v/>
      </c>
      <c r="J41" s="133" t="n">
        <v>20</v>
      </c>
    </row>
    <row r="42">
      <c r="A42" s="133" t="n">
        <v>41</v>
      </c>
      <c r="B42" s="133" t="inlineStr">
        <is>
          <t>KFIL/L1-463</t>
        </is>
      </c>
      <c r="C42" s="133" t="n">
        <v>101902123648</v>
      </c>
      <c r="D42" s="134" t="inlineStr">
        <is>
          <t>MUSHTAK SHAIKH</t>
        </is>
      </c>
      <c r="E42" s="133" t="inlineStr">
        <is>
          <t>REWORK</t>
        </is>
      </c>
      <c r="F42" s="133" t="inlineStr">
        <is>
          <t>Pieces</t>
        </is>
      </c>
      <c r="G42" s="135" t="n">
        <v>4.9</v>
      </c>
      <c r="H42" s="137" t="n">
        <v>3039</v>
      </c>
      <c r="I42" s="135">
        <f>G42*H42</f>
        <v/>
      </c>
      <c r="J42" s="133" t="n">
        <v>18</v>
      </c>
    </row>
    <row r="43">
      <c r="A43" s="133" t="n">
        <v>42</v>
      </c>
      <c r="B43" s="133" t="inlineStr">
        <is>
          <t>KFIL/L1-464</t>
        </is>
      </c>
      <c r="C43" s="133" t="n">
        <v>102062806876</v>
      </c>
      <c r="D43" s="134" t="inlineStr">
        <is>
          <t>NADAF ARBAJ ILAHI</t>
        </is>
      </c>
      <c r="E43" s="133" t="inlineStr">
        <is>
          <t>YANMAR LINE</t>
        </is>
      </c>
      <c r="F43" s="133" t="inlineStr">
        <is>
          <t>Pieces</t>
        </is>
      </c>
      <c r="G43" s="135" t="n">
        <v>28</v>
      </c>
      <c r="H43" s="137" t="n">
        <v>757</v>
      </c>
      <c r="I43" s="135">
        <f>G43*H43</f>
        <v/>
      </c>
      <c r="J43" s="133" t="n">
        <v>19</v>
      </c>
    </row>
    <row r="44">
      <c r="A44" s="133" t="n">
        <v>43</v>
      </c>
      <c r="B44" s="133" t="inlineStr">
        <is>
          <t>KFIL/L1-465</t>
        </is>
      </c>
      <c r="C44" s="133" t="n">
        <v>101407413648</v>
      </c>
      <c r="D44" s="134" t="inlineStr">
        <is>
          <t>NAMDEV DURGAPPA BANDGAR</t>
        </is>
      </c>
      <c r="E44" s="133" t="inlineStr">
        <is>
          <t>HE</t>
        </is>
      </c>
      <c r="F44" s="133" t="inlineStr">
        <is>
          <t>Tons</t>
        </is>
      </c>
      <c r="G44" s="135" t="n">
        <v>320</v>
      </c>
      <c r="H44" s="136" t="n">
        <v>85.12</v>
      </c>
      <c r="I44" s="135">
        <f>G44*H44</f>
        <v/>
      </c>
      <c r="J44" s="133" t="n">
        <v>21</v>
      </c>
    </row>
    <row r="45">
      <c r="A45" s="133" t="n">
        <v>44</v>
      </c>
      <c r="B45" s="133" t="inlineStr">
        <is>
          <t>KFIL/L1-469</t>
        </is>
      </c>
      <c r="C45" s="133" t="n">
        <v>101805790352</v>
      </c>
      <c r="D45" s="134" t="inlineStr">
        <is>
          <t>PRABHAKAR B NAYKUDE</t>
        </is>
      </c>
      <c r="E45" s="133" t="inlineStr">
        <is>
          <t>HE</t>
        </is>
      </c>
      <c r="F45" s="133" t="inlineStr">
        <is>
          <t>Tons</t>
        </is>
      </c>
      <c r="G45" s="135" t="n">
        <v>320</v>
      </c>
      <c r="H45" s="136" t="n">
        <v>69.44</v>
      </c>
      <c r="I45" s="135">
        <f>G45*H45</f>
        <v/>
      </c>
      <c r="J45" s="133" t="n">
        <v>19</v>
      </c>
    </row>
    <row r="46">
      <c r="A46" s="133" t="n">
        <v>45</v>
      </c>
      <c r="B46" s="133" t="inlineStr">
        <is>
          <t>KFIL/L1-470</t>
        </is>
      </c>
      <c r="C46" s="133" t="n">
        <v>101486099649</v>
      </c>
      <c r="D46" s="134" t="inlineStr">
        <is>
          <t>PUNDALIK CHANDU JADHAV</t>
        </is>
      </c>
      <c r="E46" s="133" t="inlineStr">
        <is>
          <t>REWORK</t>
        </is>
      </c>
      <c r="F46" s="133" t="inlineStr">
        <is>
          <t>Pieces</t>
        </is>
      </c>
      <c r="G46" s="135" t="n">
        <v>4.9</v>
      </c>
      <c r="H46" s="137" t="n">
        <v>4568</v>
      </c>
      <c r="I46" s="135">
        <f>G46*H46</f>
        <v/>
      </c>
      <c r="J46" s="133" t="n">
        <v>19</v>
      </c>
    </row>
    <row r="47">
      <c r="A47" s="133" t="n">
        <v>46</v>
      </c>
      <c r="B47" s="133" t="inlineStr">
        <is>
          <t>KFIL/L1-473</t>
        </is>
      </c>
      <c r="C47" s="133" t="n">
        <v>102078951370</v>
      </c>
      <c r="D47" s="134" t="inlineStr">
        <is>
          <t>ABHISHEK SUNIL RATHOD</t>
        </is>
      </c>
      <c r="E47" s="133" t="inlineStr">
        <is>
          <t>HE</t>
        </is>
      </c>
      <c r="F47" s="133" t="inlineStr">
        <is>
          <t>Tons</t>
        </is>
      </c>
      <c r="G47" s="135" t="n">
        <v>320</v>
      </c>
      <c r="H47" s="136" t="n">
        <v>69.011</v>
      </c>
      <c r="I47" s="135">
        <f>G47*H47</f>
        <v/>
      </c>
      <c r="J47" s="133" t="n">
        <v>20</v>
      </c>
    </row>
    <row r="48">
      <c r="A48" s="133" t="n">
        <v>47</v>
      </c>
      <c r="B48" s="133" t="inlineStr">
        <is>
          <t>KFIL/L1-474</t>
        </is>
      </c>
      <c r="C48" s="133" t="n">
        <v>101492178974</v>
      </c>
      <c r="D48" s="134" t="inlineStr">
        <is>
          <t>REVANASIDDH SHIVAPPA ISHWARKATTI</t>
        </is>
      </c>
      <c r="E48" s="133" t="inlineStr">
        <is>
          <t>FINAL</t>
        </is>
      </c>
      <c r="F48" s="133" t="inlineStr">
        <is>
          <t>Tons</t>
        </is>
      </c>
      <c r="G48" s="135" t="n">
        <v>220</v>
      </c>
      <c r="H48" s="136" t="n">
        <v>96.384</v>
      </c>
      <c r="I48" s="135">
        <f>G48*H48</f>
        <v/>
      </c>
      <c r="J48" s="133" t="n">
        <v>26</v>
      </c>
    </row>
    <row r="49">
      <c r="A49" s="133" t="n">
        <v>48</v>
      </c>
      <c r="B49" s="133" t="inlineStr">
        <is>
          <t>KFIL/L1-476</t>
        </is>
      </c>
      <c r="C49" s="133" t="n">
        <v>102043325341</v>
      </c>
      <c r="D49" s="134" t="inlineStr">
        <is>
          <t>SAGAR PATIL</t>
        </is>
      </c>
      <c r="E49" s="133" t="inlineStr">
        <is>
          <t>AVG</t>
        </is>
      </c>
      <c r="F49" s="133" t="inlineStr">
        <is>
          <t>Pieces</t>
        </is>
      </c>
      <c r="G49" s="135" t="n">
        <v>5</v>
      </c>
      <c r="H49" s="137" t="n">
        <v>4546</v>
      </c>
      <c r="I49" s="135">
        <f>G49*H49</f>
        <v/>
      </c>
      <c r="J49" s="133" t="n">
        <v>24</v>
      </c>
    </row>
    <row r="50">
      <c r="A50" s="133" t="n">
        <v>49</v>
      </c>
      <c r="B50" s="133" t="inlineStr">
        <is>
          <t>KFIL/L1-477</t>
        </is>
      </c>
      <c r="C50" s="133" t="n">
        <v>101821692693</v>
      </c>
      <c r="D50" s="134" t="inlineStr">
        <is>
          <t>SAGAR B ARJUN</t>
        </is>
      </c>
      <c r="E50" s="133" t="inlineStr">
        <is>
          <t>REWORK</t>
        </is>
      </c>
      <c r="F50" s="133" t="inlineStr">
        <is>
          <t>Pieces</t>
        </is>
      </c>
      <c r="G50" s="135" t="n">
        <v>4.9</v>
      </c>
      <c r="H50" s="137" t="n">
        <v>4375</v>
      </c>
      <c r="I50" s="135">
        <f>G50*H50</f>
        <v/>
      </c>
      <c r="J50" s="133" t="n">
        <v>21</v>
      </c>
    </row>
    <row r="51">
      <c r="A51" s="133" t="n">
        <v>50</v>
      </c>
      <c r="B51" s="133" t="inlineStr">
        <is>
          <t>KFIL/L1-478</t>
        </is>
      </c>
      <c r="C51" s="133" t="n">
        <v>101591620411</v>
      </c>
      <c r="D51" s="134" t="inlineStr">
        <is>
          <t>SAGAR M KOLI</t>
        </is>
      </c>
      <c r="E51" s="133" t="inlineStr">
        <is>
          <t>HE</t>
        </is>
      </c>
      <c r="F51" s="133" t="inlineStr">
        <is>
          <t>Tons</t>
        </is>
      </c>
      <c r="G51" s="135" t="n">
        <v>320</v>
      </c>
      <c r="H51" s="136" t="n">
        <v>68.059</v>
      </c>
      <c r="I51" s="135">
        <f>G51*H51</f>
        <v/>
      </c>
      <c r="J51" s="133" t="n">
        <v>23</v>
      </c>
    </row>
    <row r="52">
      <c r="A52" s="133" t="n">
        <v>51</v>
      </c>
      <c r="B52" s="133" t="inlineStr">
        <is>
          <t>KFIL/L1-479</t>
        </is>
      </c>
      <c r="C52" s="133" t="n">
        <v>101154454730</v>
      </c>
      <c r="D52" s="134" t="inlineStr">
        <is>
          <t>SAGAR R GHARSANGE</t>
        </is>
      </c>
      <c r="E52" s="133" t="inlineStr">
        <is>
          <t>HE</t>
        </is>
      </c>
      <c r="F52" s="133" t="inlineStr">
        <is>
          <t>Tons</t>
        </is>
      </c>
      <c r="G52" s="135" t="n">
        <v>320</v>
      </c>
      <c r="H52" s="136" t="n">
        <v>63.523</v>
      </c>
      <c r="I52" s="135">
        <f>G52*H52</f>
        <v/>
      </c>
      <c r="J52" s="133" t="n">
        <v>21</v>
      </c>
    </row>
    <row r="53">
      <c r="A53" s="133" t="n">
        <v>52</v>
      </c>
      <c r="B53" s="133" t="inlineStr">
        <is>
          <t>KFIL/L1-481</t>
        </is>
      </c>
      <c r="C53" s="133" t="n">
        <v>101960331774</v>
      </c>
      <c r="D53" s="134" t="inlineStr">
        <is>
          <t>SAMART DHAVANDE</t>
        </is>
      </c>
      <c r="E53" s="133" t="inlineStr">
        <is>
          <t>AVG</t>
        </is>
      </c>
      <c r="F53" s="133" t="inlineStr">
        <is>
          <t>Pieces</t>
        </is>
      </c>
      <c r="G53" s="135" t="n">
        <v>5</v>
      </c>
      <c r="H53" s="137" t="n">
        <v>3451</v>
      </c>
      <c r="I53" s="135">
        <f>G53*H53</f>
        <v/>
      </c>
      <c r="J53" s="133" t="n">
        <v>26</v>
      </c>
    </row>
    <row r="54">
      <c r="A54" s="133" t="n">
        <v>53</v>
      </c>
      <c r="B54" s="133" t="inlineStr">
        <is>
          <t>KFIL/L1-483</t>
        </is>
      </c>
      <c r="C54" s="133" t="n">
        <v>101540070377</v>
      </c>
      <c r="D54" s="134" t="inlineStr">
        <is>
          <t>Mr.SANTOSH LAXMAN KOLI</t>
        </is>
      </c>
      <c r="E54" s="133" t="inlineStr">
        <is>
          <t>AVG</t>
        </is>
      </c>
      <c r="F54" s="133" t="inlineStr">
        <is>
          <t>Pieces</t>
        </is>
      </c>
      <c r="G54" s="135" t="n">
        <v>5</v>
      </c>
      <c r="H54" s="137" t="n">
        <v>4292</v>
      </c>
      <c r="I54" s="135">
        <f>G54*H54</f>
        <v/>
      </c>
      <c r="J54" s="133" t="n">
        <v>18</v>
      </c>
    </row>
    <row r="55">
      <c r="A55" s="133" t="n">
        <v>54</v>
      </c>
      <c r="B55" s="133" t="inlineStr">
        <is>
          <t>KFIL/L1-484</t>
        </is>
      </c>
      <c r="C55" s="133" t="n">
        <v>101475170616</v>
      </c>
      <c r="D55" s="134" t="inlineStr">
        <is>
          <t>SATISH SHIVAJI SHINDE</t>
        </is>
      </c>
      <c r="E55" s="133" t="inlineStr">
        <is>
          <t>HE</t>
        </is>
      </c>
      <c r="F55" s="133" t="inlineStr">
        <is>
          <t>Tons</t>
        </is>
      </c>
      <c r="G55" s="135" t="n">
        <v>320</v>
      </c>
      <c r="H55" s="136" t="n">
        <v>86.217</v>
      </c>
      <c r="I55" s="135">
        <f>G55*H55</f>
        <v/>
      </c>
      <c r="J55" s="133" t="n">
        <v>18</v>
      </c>
    </row>
    <row r="56">
      <c r="A56" s="133" t="n">
        <v>55</v>
      </c>
      <c r="B56" s="133" t="inlineStr">
        <is>
          <t>KFIL/L1-489</t>
        </is>
      </c>
      <c r="C56" s="133" t="n">
        <v>101396804599</v>
      </c>
      <c r="D56" s="134" t="inlineStr">
        <is>
          <t>SHARNAPPA KHEDAGILAR</t>
        </is>
      </c>
      <c r="E56" s="133" t="inlineStr">
        <is>
          <t>PAINTER</t>
        </is>
      </c>
      <c r="F56" s="133" t="inlineStr">
        <is>
          <t>Pieces</t>
        </is>
      </c>
      <c r="G56" s="135" t="n">
        <v>6</v>
      </c>
      <c r="H56" s="137" t="n">
        <v>2987</v>
      </c>
      <c r="I56" s="135">
        <f>G56*H56</f>
        <v/>
      </c>
      <c r="J56" s="133" t="n">
        <v>23</v>
      </c>
    </row>
    <row r="57">
      <c r="A57" s="133" t="n">
        <v>56</v>
      </c>
      <c r="B57" s="133" t="inlineStr">
        <is>
          <t>KFIL/L1-490</t>
        </is>
      </c>
      <c r="C57" s="133" t="n">
        <v>101817173110</v>
      </c>
      <c r="D57" s="134" t="inlineStr">
        <is>
          <t>SHIVANAND KANTAPPA KOSHTI</t>
        </is>
      </c>
      <c r="E57" s="133" t="inlineStr">
        <is>
          <t>FINAL</t>
        </is>
      </c>
      <c r="F57" s="133" t="inlineStr">
        <is>
          <t>Tons</t>
        </is>
      </c>
      <c r="G57" s="135" t="n">
        <v>220</v>
      </c>
      <c r="H57" s="136" t="n">
        <v>96.962</v>
      </c>
      <c r="I57" s="135">
        <f>G57*H57</f>
        <v/>
      </c>
      <c r="J57" s="133" t="n">
        <v>22</v>
      </c>
    </row>
    <row r="58">
      <c r="A58" s="133" t="n">
        <v>57</v>
      </c>
      <c r="B58" s="133" t="inlineStr">
        <is>
          <t>KFIL/L1-493</t>
        </is>
      </c>
      <c r="C58" s="133" t="n">
        <v>101909060608</v>
      </c>
      <c r="D58" s="134" t="inlineStr">
        <is>
          <t>SOHIL JAMADAR</t>
        </is>
      </c>
      <c r="E58" s="133" t="inlineStr">
        <is>
          <t>REWORK</t>
        </is>
      </c>
      <c r="F58" s="133" t="inlineStr">
        <is>
          <t>Pieces</t>
        </is>
      </c>
      <c r="G58" s="135" t="n">
        <v>4.9</v>
      </c>
      <c r="H58" s="137" t="n">
        <v>3968</v>
      </c>
      <c r="I58" s="135">
        <f>G58*H58</f>
        <v/>
      </c>
      <c r="J58" s="133" t="n">
        <v>25</v>
      </c>
    </row>
    <row r="59">
      <c r="A59" s="133" t="n">
        <v>58</v>
      </c>
      <c r="B59" s="133" t="inlineStr">
        <is>
          <t>KFIL/L1-494</t>
        </is>
      </c>
      <c r="C59" s="133" t="n">
        <v>102067179570</v>
      </c>
      <c r="D59" s="134" t="inlineStr">
        <is>
          <t>SONAWANE NAGNATH KASHINATH</t>
        </is>
      </c>
      <c r="E59" s="133" t="inlineStr">
        <is>
          <t>PAINTER</t>
        </is>
      </c>
      <c r="F59" s="133" t="inlineStr">
        <is>
          <t>Pieces</t>
        </is>
      </c>
      <c r="G59" s="135" t="n">
        <v>6</v>
      </c>
      <c r="H59" s="137" t="n">
        <v>2698</v>
      </c>
      <c r="I59" s="135">
        <f>G59*H59</f>
        <v/>
      </c>
      <c r="J59" s="133" t="n">
        <v>24</v>
      </c>
    </row>
    <row r="60">
      <c r="A60" s="133" t="n">
        <v>59</v>
      </c>
      <c r="B60" s="133" t="inlineStr">
        <is>
          <t>KFIL/L1-495</t>
        </is>
      </c>
      <c r="C60" s="133" t="n">
        <v>102086487131</v>
      </c>
      <c r="D60" s="134" t="inlineStr">
        <is>
          <t>SUDHAKAR BHIMASHANKAR KOGANURE</t>
        </is>
      </c>
      <c r="E60" s="133" t="inlineStr">
        <is>
          <t>PAINTER</t>
        </is>
      </c>
      <c r="F60" s="133" t="inlineStr">
        <is>
          <t>Pieces</t>
        </is>
      </c>
      <c r="G60" s="135" t="n">
        <v>6</v>
      </c>
      <c r="H60" s="137" t="n">
        <v>3341</v>
      </c>
      <c r="I60" s="135">
        <f>G60*H60</f>
        <v/>
      </c>
      <c r="J60" s="133" t="n">
        <v>24</v>
      </c>
    </row>
    <row r="61">
      <c r="A61" s="133" t="n">
        <v>60</v>
      </c>
      <c r="B61" s="133" t="inlineStr">
        <is>
          <t>KFIL/L1-498</t>
        </is>
      </c>
      <c r="C61" s="133" t="n">
        <v>101944505682</v>
      </c>
      <c r="D61" s="134" t="inlineStr">
        <is>
          <t>VIJAY BHARALE</t>
        </is>
      </c>
      <c r="E61" s="133" t="inlineStr">
        <is>
          <t>FINAL</t>
        </is>
      </c>
      <c r="F61" s="133" t="inlineStr">
        <is>
          <t>Tons</t>
        </is>
      </c>
      <c r="G61" s="135" t="n">
        <v>220</v>
      </c>
      <c r="H61" s="136" t="n">
        <v>103.668</v>
      </c>
      <c r="I61" s="135">
        <f>G61*H61</f>
        <v/>
      </c>
      <c r="J61" s="133" t="n">
        <v>25</v>
      </c>
    </row>
    <row r="62">
      <c r="A62" s="133" t="n">
        <v>61</v>
      </c>
      <c r="B62" s="133" t="inlineStr">
        <is>
          <t>KFIL/L1-499</t>
        </is>
      </c>
      <c r="C62" s="133" t="n">
        <v>101424675655</v>
      </c>
      <c r="D62" s="134" t="inlineStr">
        <is>
          <t>Mr.VIJAY MANE</t>
        </is>
      </c>
      <c r="E62" s="133" t="inlineStr">
        <is>
          <t>AVG</t>
        </is>
      </c>
      <c r="F62" s="133" t="inlineStr">
        <is>
          <t>Pieces</t>
        </is>
      </c>
      <c r="G62" s="135" t="n">
        <v>5</v>
      </c>
      <c r="H62" s="137" t="n">
        <v>4491</v>
      </c>
      <c r="I62" s="135">
        <f>G62*H62</f>
        <v/>
      </c>
      <c r="J62" s="133" t="n">
        <v>19</v>
      </c>
    </row>
    <row r="63">
      <c r="A63" s="133" t="n">
        <v>62</v>
      </c>
      <c r="B63" s="133" t="inlineStr">
        <is>
          <t>KFIL/L1-500</t>
        </is>
      </c>
      <c r="C63" s="133" t="n">
        <v>101235372414</v>
      </c>
      <c r="D63" s="134" t="inlineStr">
        <is>
          <t>VISHAL MOHAN MANE</t>
        </is>
      </c>
      <c r="E63" s="133" t="inlineStr">
        <is>
          <t>REWORK</t>
        </is>
      </c>
      <c r="F63" s="133" t="inlineStr">
        <is>
          <t>Pieces</t>
        </is>
      </c>
      <c r="G63" s="135" t="n">
        <v>4.9</v>
      </c>
      <c r="H63" s="137" t="n">
        <v>3509</v>
      </c>
      <c r="I63" s="135">
        <f>G63*H63</f>
        <v/>
      </c>
      <c r="J63" s="133" t="n">
        <v>23</v>
      </c>
    </row>
    <row r="64">
      <c r="A64" s="133" t="n">
        <v>63</v>
      </c>
      <c r="B64" s="133" t="inlineStr">
        <is>
          <t>KFIL/L1-501</t>
        </is>
      </c>
      <c r="C64" s="133" t="n">
        <v>101432431093</v>
      </c>
      <c r="D64" s="134" t="inlineStr">
        <is>
          <t xml:space="preserve">VISHAL  SURESH MANE </t>
        </is>
      </c>
      <c r="E64" s="133" t="inlineStr">
        <is>
          <t>FINAL</t>
        </is>
      </c>
      <c r="F64" s="133" t="inlineStr">
        <is>
          <t>Tons</t>
        </is>
      </c>
      <c r="G64" s="135" t="n">
        <v>220</v>
      </c>
      <c r="H64" s="136" t="n">
        <v>92.431</v>
      </c>
      <c r="I64" s="135">
        <f>G64*H64</f>
        <v/>
      </c>
      <c r="J64" s="13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SSD</dc:creator>
  <dcterms:created xsi:type="dcterms:W3CDTF">2026-05-30T07:30:14Z</dcterms:created>
  <dcterms:modified xsi:type="dcterms:W3CDTF">2026-06-13T12:34:56Z</dcterms:modified>
  <cp:lastModifiedBy>SSD</cp:lastModifiedBy>
</cp:coreProperties>
</file>