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EPTI_ANTIGRAVITY\Real Data\"/>
    </mc:Choice>
  </mc:AlternateContent>
  <xr:revisionPtr revIDLastSave="0" documentId="13_ncr:1_{AA683580-A52B-49BB-8801-7C026695347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(PF) WAGESH APR-26 Line-01 " sheetId="1" r:id="rId1"/>
  </sheets>
  <definedNames>
    <definedName name="_xlnm._FilterDatabase" localSheetId="0" hidden="1">'(PF) WAGESH APR-26 Line-01 '!$A$7:$AA$121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2" i="1" l="1"/>
  <c r="W122" i="1"/>
  <c r="V122" i="1"/>
  <c r="U122" i="1"/>
  <c r="T122" i="1"/>
  <c r="S122" i="1"/>
  <c r="G122" i="1"/>
  <c r="F122" i="1"/>
  <c r="E122" i="1"/>
  <c r="J121" i="1"/>
  <c r="I121" i="1"/>
  <c r="K121" i="1" s="1"/>
  <c r="H121" i="1"/>
  <c r="J120" i="1"/>
  <c r="I120" i="1"/>
  <c r="K120" i="1" s="1"/>
  <c r="H120" i="1"/>
  <c r="J119" i="1"/>
  <c r="I119" i="1"/>
  <c r="H119" i="1"/>
  <c r="J118" i="1"/>
  <c r="I118" i="1"/>
  <c r="H118" i="1"/>
  <c r="J117" i="1"/>
  <c r="I117" i="1"/>
  <c r="H117" i="1"/>
  <c r="J116" i="1"/>
  <c r="I116" i="1"/>
  <c r="K116" i="1" s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K111" i="1" s="1"/>
  <c r="H111" i="1"/>
  <c r="J110" i="1"/>
  <c r="I110" i="1"/>
  <c r="H110" i="1"/>
  <c r="J109" i="1"/>
  <c r="I109" i="1"/>
  <c r="H109" i="1"/>
  <c r="J108" i="1"/>
  <c r="I108" i="1"/>
  <c r="H108" i="1"/>
  <c r="J107" i="1"/>
  <c r="I107" i="1"/>
  <c r="K107" i="1" s="1"/>
  <c r="H107" i="1"/>
  <c r="J106" i="1"/>
  <c r="I106" i="1"/>
  <c r="H106" i="1"/>
  <c r="J105" i="1"/>
  <c r="I105" i="1"/>
  <c r="H105" i="1"/>
  <c r="J104" i="1"/>
  <c r="I104" i="1"/>
  <c r="H104" i="1"/>
  <c r="J103" i="1"/>
  <c r="I103" i="1"/>
  <c r="K103" i="1" s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K95" i="1" s="1"/>
  <c r="H95" i="1"/>
  <c r="J94" i="1"/>
  <c r="I94" i="1"/>
  <c r="H94" i="1"/>
  <c r="J93" i="1"/>
  <c r="I93" i="1"/>
  <c r="H93" i="1"/>
  <c r="J92" i="1"/>
  <c r="I92" i="1"/>
  <c r="H92" i="1"/>
  <c r="J91" i="1"/>
  <c r="I91" i="1"/>
  <c r="K91" i="1" s="1"/>
  <c r="H91" i="1"/>
  <c r="J90" i="1"/>
  <c r="I90" i="1"/>
  <c r="H90" i="1"/>
  <c r="J89" i="1"/>
  <c r="I89" i="1"/>
  <c r="H89" i="1"/>
  <c r="J88" i="1"/>
  <c r="I88" i="1"/>
  <c r="H88" i="1"/>
  <c r="J87" i="1"/>
  <c r="I87" i="1"/>
  <c r="K87" i="1" s="1"/>
  <c r="H87" i="1"/>
  <c r="J86" i="1"/>
  <c r="I86" i="1"/>
  <c r="K86" i="1" s="1"/>
  <c r="H86" i="1"/>
  <c r="J85" i="1"/>
  <c r="I85" i="1"/>
  <c r="H85" i="1"/>
  <c r="J84" i="1"/>
  <c r="I84" i="1"/>
  <c r="H84" i="1"/>
  <c r="J83" i="1"/>
  <c r="I83" i="1"/>
  <c r="K83" i="1" s="1"/>
  <c r="H83" i="1"/>
  <c r="J82" i="1"/>
  <c r="I82" i="1"/>
  <c r="H82" i="1"/>
  <c r="J81" i="1"/>
  <c r="I81" i="1"/>
  <c r="K81" i="1" s="1"/>
  <c r="H81" i="1"/>
  <c r="J80" i="1"/>
  <c r="I80" i="1"/>
  <c r="H80" i="1"/>
  <c r="J79" i="1"/>
  <c r="I79" i="1"/>
  <c r="K79" i="1" s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K55" i="1" s="1"/>
  <c r="H55" i="1"/>
  <c r="J54" i="1"/>
  <c r="I54" i="1"/>
  <c r="H54" i="1"/>
  <c r="J53" i="1"/>
  <c r="I53" i="1"/>
  <c r="H53" i="1"/>
  <c r="J52" i="1"/>
  <c r="I52" i="1"/>
  <c r="H52" i="1"/>
  <c r="J51" i="1"/>
  <c r="I51" i="1"/>
  <c r="K51" i="1" s="1"/>
  <c r="H51" i="1"/>
  <c r="J50" i="1"/>
  <c r="I50" i="1"/>
  <c r="H50" i="1"/>
  <c r="J49" i="1"/>
  <c r="I49" i="1"/>
  <c r="H49" i="1"/>
  <c r="J48" i="1"/>
  <c r="I48" i="1"/>
  <c r="H48" i="1"/>
  <c r="J47" i="1"/>
  <c r="I47" i="1"/>
  <c r="K47" i="1" s="1"/>
  <c r="H47" i="1"/>
  <c r="J46" i="1"/>
  <c r="I46" i="1"/>
  <c r="H46" i="1"/>
  <c r="J45" i="1"/>
  <c r="I45" i="1"/>
  <c r="H45" i="1"/>
  <c r="J44" i="1"/>
  <c r="I44" i="1"/>
  <c r="H44" i="1"/>
  <c r="J43" i="1"/>
  <c r="I43" i="1"/>
  <c r="K43" i="1" s="1"/>
  <c r="H43" i="1"/>
  <c r="J42" i="1"/>
  <c r="I42" i="1"/>
  <c r="H42" i="1"/>
  <c r="J41" i="1"/>
  <c r="I41" i="1"/>
  <c r="H41" i="1"/>
  <c r="J40" i="1"/>
  <c r="I40" i="1"/>
  <c r="H40" i="1"/>
  <c r="J39" i="1"/>
  <c r="I39" i="1"/>
  <c r="K39" i="1" s="1"/>
  <c r="H39" i="1"/>
  <c r="J38" i="1"/>
  <c r="I38" i="1"/>
  <c r="H38" i="1"/>
  <c r="J37" i="1"/>
  <c r="I37" i="1"/>
  <c r="H37" i="1"/>
  <c r="J36" i="1"/>
  <c r="I36" i="1"/>
  <c r="H36" i="1"/>
  <c r="J35" i="1"/>
  <c r="I35" i="1"/>
  <c r="K35" i="1" s="1"/>
  <c r="H35" i="1"/>
  <c r="J34" i="1"/>
  <c r="I34" i="1"/>
  <c r="H34" i="1"/>
  <c r="J33" i="1"/>
  <c r="I33" i="1"/>
  <c r="H33" i="1"/>
  <c r="J32" i="1"/>
  <c r="I32" i="1"/>
  <c r="H32" i="1"/>
  <c r="J31" i="1"/>
  <c r="I31" i="1"/>
  <c r="K31" i="1" s="1"/>
  <c r="H31" i="1"/>
  <c r="J30" i="1"/>
  <c r="I30" i="1"/>
  <c r="K30" i="1" s="1"/>
  <c r="H30" i="1"/>
  <c r="J29" i="1"/>
  <c r="I29" i="1"/>
  <c r="H29" i="1"/>
  <c r="J28" i="1"/>
  <c r="I28" i="1"/>
  <c r="H28" i="1"/>
  <c r="J27" i="1"/>
  <c r="I27" i="1"/>
  <c r="K27" i="1" s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K12" i="1" s="1"/>
  <c r="H12" i="1"/>
  <c r="L5" i="1"/>
  <c r="L6" i="1" s="1"/>
  <c r="K6" i="1" s="1"/>
  <c r="Q3" i="1"/>
  <c r="Q4" i="1" s="1"/>
  <c r="L3" i="1"/>
  <c r="M3" i="1" s="1"/>
  <c r="D3" i="1"/>
  <c r="K76" i="1" l="1"/>
  <c r="K101" i="1"/>
  <c r="K109" i="1"/>
  <c r="K117" i="1"/>
  <c r="K90" i="1"/>
  <c r="K94" i="1"/>
  <c r="K102" i="1"/>
  <c r="K18" i="1"/>
  <c r="K113" i="1"/>
  <c r="K68" i="1"/>
  <c r="I122" i="1"/>
  <c r="K13" i="1"/>
  <c r="K17" i="1"/>
  <c r="K21" i="1"/>
  <c r="K28" i="1"/>
  <c r="K32" i="1"/>
  <c r="K36" i="1"/>
  <c r="K40" i="1"/>
  <c r="K44" i="1"/>
  <c r="K48" i="1"/>
  <c r="K52" i="1"/>
  <c r="K56" i="1"/>
  <c r="K59" i="1"/>
  <c r="K60" i="1"/>
  <c r="K92" i="1"/>
  <c r="K114" i="1"/>
  <c r="K118" i="1"/>
  <c r="K26" i="1"/>
  <c r="K34" i="1"/>
  <c r="K38" i="1"/>
  <c r="K42" i="1"/>
  <c r="K46" i="1"/>
  <c r="K50" i="1"/>
  <c r="K54" i="1"/>
  <c r="K58" i="1"/>
  <c r="K89" i="1"/>
  <c r="K80" i="1"/>
  <c r="K93" i="1"/>
  <c r="K99" i="1"/>
  <c r="K72" i="1"/>
  <c r="K96" i="1"/>
  <c r="K63" i="1"/>
  <c r="K67" i="1"/>
  <c r="K71" i="1"/>
  <c r="K75" i="1"/>
  <c r="K82" i="1"/>
  <c r="K62" i="1"/>
  <c r="K85" i="1"/>
  <c r="K100" i="1"/>
  <c r="K106" i="1"/>
  <c r="K61" i="1"/>
  <c r="K84" i="1"/>
  <c r="K88" i="1"/>
  <c r="K105" i="1"/>
  <c r="K115" i="1"/>
  <c r="K119" i="1"/>
  <c r="K108" i="1"/>
  <c r="J122" i="1"/>
  <c r="K16" i="1"/>
  <c r="K20" i="1"/>
  <c r="K24" i="1"/>
  <c r="K66" i="1"/>
  <c r="K70" i="1"/>
  <c r="K74" i="1"/>
  <c r="K78" i="1"/>
  <c r="K104" i="1"/>
  <c r="K15" i="1"/>
  <c r="K19" i="1"/>
  <c r="K23" i="1"/>
  <c r="K65" i="1"/>
  <c r="K69" i="1"/>
  <c r="K73" i="1"/>
  <c r="K77" i="1"/>
  <c r="H122" i="1"/>
  <c r="K14" i="1"/>
  <c r="K22" i="1"/>
  <c r="K25" i="1"/>
  <c r="K29" i="1"/>
  <c r="K33" i="1"/>
  <c r="K37" i="1"/>
  <c r="K41" i="1"/>
  <c r="K45" i="1"/>
  <c r="K49" i="1"/>
  <c r="K53" i="1"/>
  <c r="K57" i="1"/>
  <c r="K64" i="1"/>
  <c r="K97" i="1"/>
  <c r="K98" i="1"/>
  <c r="K112" i="1"/>
  <c r="O3" i="1"/>
  <c r="O4" i="1" s="1"/>
  <c r="M4" i="1"/>
  <c r="L4" i="1"/>
  <c r="M5" i="1"/>
  <c r="K110" i="1"/>
  <c r="K122" i="1" l="1"/>
  <c r="L113" i="1"/>
  <c r="L112" i="1"/>
  <c r="L121" i="1"/>
  <c r="L120" i="1"/>
  <c r="L119" i="1"/>
  <c r="L118" i="1"/>
  <c r="L117" i="1"/>
  <c r="L116" i="1"/>
  <c r="L115" i="1"/>
  <c r="L114" i="1"/>
  <c r="L109" i="1"/>
  <c r="L105" i="1"/>
  <c r="L111" i="1"/>
  <c r="L107" i="1"/>
  <c r="L103" i="1"/>
  <c r="L99" i="1"/>
  <c r="L95" i="1"/>
  <c r="L110" i="1"/>
  <c r="L101" i="1"/>
  <c r="L100" i="1"/>
  <c r="L94" i="1"/>
  <c r="L90" i="1"/>
  <c r="L89" i="1"/>
  <c r="L88" i="1"/>
  <c r="L87" i="1"/>
  <c r="L86" i="1"/>
  <c r="L85" i="1"/>
  <c r="L84" i="1"/>
  <c r="L83" i="1"/>
  <c r="L106" i="1"/>
  <c r="L98" i="1"/>
  <c r="L97" i="1"/>
  <c r="L96" i="1"/>
  <c r="L108" i="1"/>
  <c r="L102" i="1"/>
  <c r="L104" i="1"/>
  <c r="L93" i="1"/>
  <c r="L92" i="1"/>
  <c r="L91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82" i="1"/>
  <c r="L81" i="1"/>
  <c r="L79" i="1"/>
  <c r="L80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5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M6" i="1"/>
  <c r="O5" i="1"/>
  <c r="O6" i="1" s="1"/>
  <c r="P6" i="1" s="1"/>
  <c r="M14" i="1" l="1"/>
  <c r="N14" i="1" s="1"/>
  <c r="O14" i="1" s="1"/>
  <c r="P14" i="1"/>
  <c r="M23" i="1"/>
  <c r="N23" i="1" s="1"/>
  <c r="O23" i="1" s="1"/>
  <c r="P23" i="1"/>
  <c r="P30" i="1"/>
  <c r="M30" i="1"/>
  <c r="N30" i="1" s="1"/>
  <c r="O30" i="1" s="1"/>
  <c r="M50" i="1"/>
  <c r="N50" i="1" s="1"/>
  <c r="O50" i="1" s="1"/>
  <c r="P50" i="1"/>
  <c r="M13" i="1"/>
  <c r="N13" i="1" s="1"/>
  <c r="O13" i="1" s="1"/>
  <c r="P13" i="1"/>
  <c r="M17" i="1"/>
  <c r="N17" i="1" s="1"/>
  <c r="O17" i="1" s="1"/>
  <c r="P17" i="1"/>
  <c r="M21" i="1"/>
  <c r="N21" i="1" s="1"/>
  <c r="O21" i="1" s="1"/>
  <c r="P21" i="1"/>
  <c r="M25" i="1"/>
  <c r="N25" i="1" s="1"/>
  <c r="O25" i="1" s="1"/>
  <c r="P25" i="1"/>
  <c r="P28" i="1"/>
  <c r="M28" i="1"/>
  <c r="N28" i="1" s="1"/>
  <c r="O28" i="1" s="1"/>
  <c r="P32" i="1"/>
  <c r="M32" i="1"/>
  <c r="N32" i="1" s="1"/>
  <c r="O32" i="1" s="1"/>
  <c r="M36" i="1"/>
  <c r="N36" i="1" s="1"/>
  <c r="O36" i="1" s="1"/>
  <c r="P36" i="1"/>
  <c r="M40" i="1"/>
  <c r="N40" i="1" s="1"/>
  <c r="O40" i="1" s="1"/>
  <c r="P40" i="1"/>
  <c r="M44" i="1"/>
  <c r="N44" i="1" s="1"/>
  <c r="O44" i="1" s="1"/>
  <c r="P44" i="1"/>
  <c r="M48" i="1"/>
  <c r="N48" i="1" s="1"/>
  <c r="O48" i="1" s="1"/>
  <c r="P48" i="1"/>
  <c r="M52" i="1"/>
  <c r="P52" i="1"/>
  <c r="N52" i="1"/>
  <c r="O52" i="1" s="1"/>
  <c r="M56" i="1"/>
  <c r="N56" i="1" s="1"/>
  <c r="O56" i="1" s="1"/>
  <c r="P56" i="1"/>
  <c r="M79" i="1"/>
  <c r="N79" i="1" s="1"/>
  <c r="O79" i="1" s="1"/>
  <c r="P79" i="1"/>
  <c r="P61" i="1"/>
  <c r="M61" i="1"/>
  <c r="N61" i="1" s="1"/>
  <c r="O61" i="1" s="1"/>
  <c r="P65" i="1"/>
  <c r="M65" i="1"/>
  <c r="N65" i="1" s="1"/>
  <c r="O65" i="1" s="1"/>
  <c r="P69" i="1"/>
  <c r="M69" i="1"/>
  <c r="N69" i="1" s="1"/>
  <c r="O69" i="1" s="1"/>
  <c r="P73" i="1"/>
  <c r="M73" i="1"/>
  <c r="N73" i="1" s="1"/>
  <c r="O73" i="1" s="1"/>
  <c r="P77" i="1"/>
  <c r="M77" i="1"/>
  <c r="N77" i="1" s="1"/>
  <c r="O77" i="1" s="1"/>
  <c r="M93" i="1"/>
  <c r="N93" i="1" s="1"/>
  <c r="O93" i="1" s="1"/>
  <c r="P93" i="1"/>
  <c r="M96" i="1"/>
  <c r="N96" i="1" s="1"/>
  <c r="O96" i="1" s="1"/>
  <c r="P96" i="1"/>
  <c r="P83" i="1"/>
  <c r="M83" i="1"/>
  <c r="N83" i="1" s="1"/>
  <c r="O83" i="1" s="1"/>
  <c r="P87" i="1"/>
  <c r="M87" i="1"/>
  <c r="N87" i="1" s="1"/>
  <c r="O87" i="1" s="1"/>
  <c r="P94" i="1"/>
  <c r="M94" i="1"/>
  <c r="N94" i="1" s="1"/>
  <c r="O94" i="1" s="1"/>
  <c r="P95" i="1"/>
  <c r="M95" i="1"/>
  <c r="N95" i="1" s="1"/>
  <c r="O95" i="1" s="1"/>
  <c r="P111" i="1"/>
  <c r="M111" i="1"/>
  <c r="N111" i="1" s="1"/>
  <c r="O111" i="1" s="1"/>
  <c r="M115" i="1"/>
  <c r="N115" i="1" s="1"/>
  <c r="O115" i="1" s="1"/>
  <c r="P115" i="1"/>
  <c r="M119" i="1"/>
  <c r="N119" i="1" s="1"/>
  <c r="O119" i="1" s="1"/>
  <c r="P119" i="1"/>
  <c r="P113" i="1"/>
  <c r="M113" i="1"/>
  <c r="N113" i="1" s="1"/>
  <c r="O113" i="1" s="1"/>
  <c r="M18" i="1"/>
  <c r="N18" i="1" s="1"/>
  <c r="O18" i="1" s="1"/>
  <c r="P18" i="1"/>
  <c r="M22" i="1"/>
  <c r="N22" i="1" s="1"/>
  <c r="O22" i="1" s="1"/>
  <c r="P22" i="1"/>
  <c r="M26" i="1"/>
  <c r="N26" i="1" s="1"/>
  <c r="O26" i="1" s="1"/>
  <c r="P26" i="1"/>
  <c r="P29" i="1"/>
  <c r="M29" i="1"/>
  <c r="N29" i="1" s="1"/>
  <c r="O29" i="1" s="1"/>
  <c r="P33" i="1"/>
  <c r="M33" i="1"/>
  <c r="N33" i="1" s="1"/>
  <c r="O33" i="1" s="1"/>
  <c r="M37" i="1"/>
  <c r="N37" i="1" s="1"/>
  <c r="O37" i="1" s="1"/>
  <c r="P37" i="1"/>
  <c r="M41" i="1"/>
  <c r="N41" i="1" s="1"/>
  <c r="O41" i="1" s="1"/>
  <c r="P41" i="1"/>
  <c r="M45" i="1"/>
  <c r="P45" i="1"/>
  <c r="N45" i="1"/>
  <c r="O45" i="1" s="1"/>
  <c r="M49" i="1"/>
  <c r="N49" i="1" s="1"/>
  <c r="O49" i="1" s="1"/>
  <c r="P49" i="1"/>
  <c r="M53" i="1"/>
  <c r="N53" i="1" s="1"/>
  <c r="O53" i="1" s="1"/>
  <c r="P53" i="1"/>
  <c r="M57" i="1"/>
  <c r="N57" i="1" s="1"/>
  <c r="O57" i="1" s="1"/>
  <c r="P57" i="1"/>
  <c r="M81" i="1"/>
  <c r="N81" i="1" s="1"/>
  <c r="O81" i="1" s="1"/>
  <c r="P81" i="1"/>
  <c r="P62" i="1"/>
  <c r="M62" i="1"/>
  <c r="N62" i="1" s="1"/>
  <c r="O62" i="1" s="1"/>
  <c r="P66" i="1"/>
  <c r="M66" i="1"/>
  <c r="N66" i="1" s="1"/>
  <c r="O66" i="1" s="1"/>
  <c r="P70" i="1"/>
  <c r="M70" i="1"/>
  <c r="N70" i="1" s="1"/>
  <c r="O70" i="1" s="1"/>
  <c r="P74" i="1"/>
  <c r="M74" i="1"/>
  <c r="N74" i="1" s="1"/>
  <c r="O74" i="1" s="1"/>
  <c r="M78" i="1"/>
  <c r="N78" i="1" s="1"/>
  <c r="O78" i="1" s="1"/>
  <c r="P78" i="1"/>
  <c r="M104" i="1"/>
  <c r="N104" i="1" s="1"/>
  <c r="O104" i="1" s="1"/>
  <c r="P104" i="1"/>
  <c r="M97" i="1"/>
  <c r="N97" i="1" s="1"/>
  <c r="O97" i="1" s="1"/>
  <c r="P97" i="1"/>
  <c r="P84" i="1"/>
  <c r="M84" i="1"/>
  <c r="N84" i="1" s="1"/>
  <c r="O84" i="1" s="1"/>
  <c r="P88" i="1"/>
  <c r="M88" i="1"/>
  <c r="N88" i="1" s="1"/>
  <c r="O88" i="1" s="1"/>
  <c r="M100" i="1"/>
  <c r="N100" i="1" s="1"/>
  <c r="O100" i="1" s="1"/>
  <c r="P100" i="1"/>
  <c r="P99" i="1"/>
  <c r="M99" i="1"/>
  <c r="N99" i="1" s="1"/>
  <c r="O99" i="1" s="1"/>
  <c r="P105" i="1"/>
  <c r="M105" i="1"/>
  <c r="N105" i="1" s="1"/>
  <c r="O105" i="1" s="1"/>
  <c r="M116" i="1"/>
  <c r="N116" i="1" s="1"/>
  <c r="O116" i="1" s="1"/>
  <c r="P116" i="1"/>
  <c r="M120" i="1"/>
  <c r="N120" i="1" s="1"/>
  <c r="O120" i="1" s="1"/>
  <c r="P120" i="1"/>
  <c r="M15" i="1"/>
  <c r="N15" i="1" s="1"/>
  <c r="O15" i="1" s="1"/>
  <c r="P15" i="1"/>
  <c r="M38" i="1"/>
  <c r="N38" i="1" s="1"/>
  <c r="O38" i="1" s="1"/>
  <c r="P38" i="1"/>
  <c r="M42" i="1"/>
  <c r="N42" i="1" s="1"/>
  <c r="O42" i="1" s="1"/>
  <c r="P42" i="1"/>
  <c r="M54" i="1"/>
  <c r="N54" i="1" s="1"/>
  <c r="O54" i="1" s="1"/>
  <c r="P54" i="1"/>
  <c r="M58" i="1"/>
  <c r="N58" i="1" s="1"/>
  <c r="O58" i="1" s="1"/>
  <c r="P58" i="1"/>
  <c r="M82" i="1"/>
  <c r="N82" i="1" s="1"/>
  <c r="O82" i="1" s="1"/>
  <c r="P82" i="1"/>
  <c r="P63" i="1"/>
  <c r="M63" i="1"/>
  <c r="N63" i="1" s="1"/>
  <c r="O63" i="1" s="1"/>
  <c r="P67" i="1"/>
  <c r="M67" i="1"/>
  <c r="N67" i="1" s="1"/>
  <c r="O67" i="1" s="1"/>
  <c r="P71" i="1"/>
  <c r="M71" i="1"/>
  <c r="N71" i="1" s="1"/>
  <c r="O71" i="1" s="1"/>
  <c r="P75" i="1"/>
  <c r="M75" i="1"/>
  <c r="N75" i="1" s="1"/>
  <c r="O75" i="1" s="1"/>
  <c r="M91" i="1"/>
  <c r="N91" i="1" s="1"/>
  <c r="O91" i="1" s="1"/>
  <c r="P91" i="1"/>
  <c r="M102" i="1"/>
  <c r="N102" i="1" s="1"/>
  <c r="O102" i="1" s="1"/>
  <c r="P102" i="1"/>
  <c r="M98" i="1"/>
  <c r="N98" i="1" s="1"/>
  <c r="O98" i="1" s="1"/>
  <c r="P98" i="1"/>
  <c r="P85" i="1"/>
  <c r="M85" i="1"/>
  <c r="N85" i="1" s="1"/>
  <c r="O85" i="1" s="1"/>
  <c r="P89" i="1"/>
  <c r="M89" i="1"/>
  <c r="N89" i="1" s="1"/>
  <c r="O89" i="1" s="1"/>
  <c r="P101" i="1"/>
  <c r="M101" i="1"/>
  <c r="N101" i="1" s="1"/>
  <c r="O101" i="1" s="1"/>
  <c r="P103" i="1"/>
  <c r="M103" i="1"/>
  <c r="N103" i="1" s="1"/>
  <c r="O103" i="1" s="1"/>
  <c r="P109" i="1"/>
  <c r="M109" i="1"/>
  <c r="N109" i="1" s="1"/>
  <c r="O109" i="1" s="1"/>
  <c r="M117" i="1"/>
  <c r="N117" i="1" s="1"/>
  <c r="O117" i="1" s="1"/>
  <c r="P117" i="1"/>
  <c r="M121" i="1"/>
  <c r="N121" i="1" s="1"/>
  <c r="O121" i="1" s="1"/>
  <c r="P121" i="1"/>
  <c r="M19" i="1"/>
  <c r="N19" i="1" s="1"/>
  <c r="O19" i="1" s="1"/>
  <c r="P19" i="1"/>
  <c r="P27" i="1"/>
  <c r="M27" i="1"/>
  <c r="N27" i="1" s="1"/>
  <c r="O27" i="1" s="1"/>
  <c r="P34" i="1"/>
  <c r="M34" i="1"/>
  <c r="N34" i="1" s="1"/>
  <c r="O34" i="1" s="1"/>
  <c r="M46" i="1"/>
  <c r="N46" i="1" s="1"/>
  <c r="O46" i="1" s="1"/>
  <c r="P46" i="1"/>
  <c r="L122" i="1"/>
  <c r="M12" i="1"/>
  <c r="P12" i="1"/>
  <c r="M16" i="1"/>
  <c r="N16" i="1" s="1"/>
  <c r="O16" i="1" s="1"/>
  <c r="P16" i="1"/>
  <c r="M20" i="1"/>
  <c r="N20" i="1" s="1"/>
  <c r="O20" i="1" s="1"/>
  <c r="P20" i="1"/>
  <c r="M24" i="1"/>
  <c r="N24" i="1" s="1"/>
  <c r="O24" i="1" s="1"/>
  <c r="P24" i="1"/>
  <c r="M59" i="1"/>
  <c r="N59" i="1" s="1"/>
  <c r="O59" i="1" s="1"/>
  <c r="P59" i="1"/>
  <c r="P31" i="1"/>
  <c r="M31" i="1"/>
  <c r="N31" i="1" s="1"/>
  <c r="O31" i="1" s="1"/>
  <c r="M35" i="1"/>
  <c r="N35" i="1" s="1"/>
  <c r="O35" i="1" s="1"/>
  <c r="P35" i="1"/>
  <c r="M39" i="1"/>
  <c r="N39" i="1" s="1"/>
  <c r="O39" i="1" s="1"/>
  <c r="P39" i="1"/>
  <c r="M43" i="1"/>
  <c r="N43" i="1" s="1"/>
  <c r="O43" i="1" s="1"/>
  <c r="P43" i="1"/>
  <c r="M47" i="1"/>
  <c r="N47" i="1" s="1"/>
  <c r="O47" i="1" s="1"/>
  <c r="P47" i="1"/>
  <c r="M51" i="1"/>
  <c r="N51" i="1" s="1"/>
  <c r="O51" i="1" s="1"/>
  <c r="P51" i="1"/>
  <c r="M55" i="1"/>
  <c r="N55" i="1" s="1"/>
  <c r="O55" i="1" s="1"/>
  <c r="P55" i="1"/>
  <c r="M80" i="1"/>
  <c r="N80" i="1" s="1"/>
  <c r="O80" i="1" s="1"/>
  <c r="P80" i="1"/>
  <c r="P60" i="1"/>
  <c r="M60" i="1"/>
  <c r="N60" i="1" s="1"/>
  <c r="O60" i="1" s="1"/>
  <c r="P64" i="1"/>
  <c r="M64" i="1"/>
  <c r="N64" i="1" s="1"/>
  <c r="O64" i="1" s="1"/>
  <c r="P68" i="1"/>
  <c r="M68" i="1"/>
  <c r="N68" i="1" s="1"/>
  <c r="O68" i="1" s="1"/>
  <c r="P72" i="1"/>
  <c r="M72" i="1"/>
  <c r="N72" i="1" s="1"/>
  <c r="O72" i="1" s="1"/>
  <c r="P76" i="1"/>
  <c r="M76" i="1"/>
  <c r="N76" i="1" s="1"/>
  <c r="O76" i="1" s="1"/>
  <c r="M92" i="1"/>
  <c r="N92" i="1" s="1"/>
  <c r="O92" i="1" s="1"/>
  <c r="P92" i="1"/>
  <c r="M108" i="1"/>
  <c r="N108" i="1" s="1"/>
  <c r="O108" i="1" s="1"/>
  <c r="P108" i="1"/>
  <c r="M106" i="1"/>
  <c r="N106" i="1" s="1"/>
  <c r="O106" i="1" s="1"/>
  <c r="P106" i="1"/>
  <c r="P86" i="1"/>
  <c r="M86" i="1"/>
  <c r="N86" i="1" s="1"/>
  <c r="O86" i="1" s="1"/>
  <c r="P90" i="1"/>
  <c r="M90" i="1"/>
  <c r="N90" i="1" s="1"/>
  <c r="O90" i="1" s="1"/>
  <c r="M110" i="1"/>
  <c r="N110" i="1" s="1"/>
  <c r="O110" i="1" s="1"/>
  <c r="P110" i="1"/>
  <c r="P107" i="1"/>
  <c r="M107" i="1"/>
  <c r="N107" i="1" s="1"/>
  <c r="O107" i="1" s="1"/>
  <c r="M114" i="1"/>
  <c r="N114" i="1" s="1"/>
  <c r="O114" i="1" s="1"/>
  <c r="P114" i="1"/>
  <c r="M118" i="1"/>
  <c r="N118" i="1" s="1"/>
  <c r="O118" i="1" s="1"/>
  <c r="P118" i="1"/>
  <c r="P112" i="1"/>
  <c r="M112" i="1"/>
  <c r="N112" i="1" s="1"/>
  <c r="O112" i="1" s="1"/>
  <c r="R72" i="1" l="1"/>
  <c r="Q72" i="1"/>
  <c r="X72" i="1" s="1"/>
  <c r="Y72" i="1" s="1"/>
  <c r="AA72" i="1" s="1"/>
  <c r="R46" i="1"/>
  <c r="Q46" i="1"/>
  <c r="R19" i="1"/>
  <c r="Q19" i="1"/>
  <c r="Q117" i="1"/>
  <c r="X117" i="1" s="1"/>
  <c r="Y117" i="1" s="1"/>
  <c r="AA117" i="1" s="1"/>
  <c r="R117" i="1"/>
  <c r="R91" i="1"/>
  <c r="Q91" i="1"/>
  <c r="X91" i="1" s="1"/>
  <c r="Y91" i="1" s="1"/>
  <c r="AA91" i="1" s="1"/>
  <c r="R42" i="1"/>
  <c r="Q42" i="1"/>
  <c r="X42" i="1" s="1"/>
  <c r="Y42" i="1" s="1"/>
  <c r="AA42" i="1" s="1"/>
  <c r="Q120" i="1"/>
  <c r="R120" i="1"/>
  <c r="X120" i="1" s="1"/>
  <c r="Y120" i="1" s="1"/>
  <c r="AA120" i="1" s="1"/>
  <c r="Q104" i="1"/>
  <c r="X104" i="1" s="1"/>
  <c r="Y104" i="1" s="1"/>
  <c r="AA104" i="1" s="1"/>
  <c r="R104" i="1"/>
  <c r="R53" i="1"/>
  <c r="Q53" i="1"/>
  <c r="X53" i="1" s="1"/>
  <c r="Y53" i="1" s="1"/>
  <c r="AA53" i="1" s="1"/>
  <c r="P5" i="1"/>
  <c r="R22" i="1"/>
  <c r="Q22" i="1"/>
  <c r="Q96" i="1"/>
  <c r="X96" i="1" s="1"/>
  <c r="Y96" i="1" s="1"/>
  <c r="AA96" i="1" s="1"/>
  <c r="R96" i="1"/>
  <c r="R77" i="1"/>
  <c r="X77" i="1" s="1"/>
  <c r="Y77" i="1" s="1"/>
  <c r="AA77" i="1" s="1"/>
  <c r="Q77" i="1"/>
  <c r="R69" i="1"/>
  <c r="Q69" i="1"/>
  <c r="R79" i="1"/>
  <c r="Q79" i="1"/>
  <c r="R40" i="1"/>
  <c r="Q40" i="1"/>
  <c r="R32" i="1"/>
  <c r="Q32" i="1"/>
  <c r="X32" i="1" s="1"/>
  <c r="Y32" i="1" s="1"/>
  <c r="AA32" i="1" s="1"/>
  <c r="Q108" i="1"/>
  <c r="R108" i="1"/>
  <c r="R55" i="1"/>
  <c r="Q55" i="1"/>
  <c r="R43" i="1"/>
  <c r="Q43" i="1"/>
  <c r="X43" i="1" s="1"/>
  <c r="Y43" i="1" s="1"/>
  <c r="AA43" i="1" s="1"/>
  <c r="R24" i="1"/>
  <c r="Q24" i="1"/>
  <c r="X24" i="1" s="1"/>
  <c r="Y24" i="1" s="1"/>
  <c r="AA24" i="1" s="1"/>
  <c r="R89" i="1"/>
  <c r="Q89" i="1"/>
  <c r="X89" i="1" s="1"/>
  <c r="Y89" i="1" s="1"/>
  <c r="AA89" i="1" s="1"/>
  <c r="Q63" i="1"/>
  <c r="R63" i="1"/>
  <c r="X63" i="1" s="1"/>
  <c r="Y63" i="1" s="1"/>
  <c r="AA63" i="1" s="1"/>
  <c r="R66" i="1"/>
  <c r="Q66" i="1"/>
  <c r="X66" i="1" s="1"/>
  <c r="Y66" i="1" s="1"/>
  <c r="AA66" i="1" s="1"/>
  <c r="R83" i="1"/>
  <c r="X83" i="1" s="1"/>
  <c r="Y83" i="1" s="1"/>
  <c r="AA83" i="1" s="1"/>
  <c r="Q83" i="1"/>
  <c r="Q61" i="1"/>
  <c r="X61" i="1" s="1"/>
  <c r="Y61" i="1" s="1"/>
  <c r="AA61" i="1" s="1"/>
  <c r="R61" i="1"/>
  <c r="R25" i="1"/>
  <c r="Q25" i="1"/>
  <c r="R13" i="1"/>
  <c r="Q13" i="1"/>
  <c r="Q118" i="1"/>
  <c r="R118" i="1"/>
  <c r="Q121" i="1"/>
  <c r="R121" i="1"/>
  <c r="Q102" i="1"/>
  <c r="R102" i="1"/>
  <c r="R54" i="1"/>
  <c r="Q54" i="1"/>
  <c r="Q116" i="1"/>
  <c r="X116" i="1" s="1"/>
  <c r="Y116" i="1" s="1"/>
  <c r="AA116" i="1" s="1"/>
  <c r="R116" i="1"/>
  <c r="Q100" i="1"/>
  <c r="X100" i="1" s="1"/>
  <c r="Y100" i="1" s="1"/>
  <c r="AA100" i="1" s="1"/>
  <c r="R100" i="1"/>
  <c r="R78" i="1"/>
  <c r="Q78" i="1"/>
  <c r="X78" i="1" s="1"/>
  <c r="Y78" i="1" s="1"/>
  <c r="AA78" i="1" s="1"/>
  <c r="R49" i="1"/>
  <c r="Q49" i="1"/>
  <c r="X49" i="1" s="1"/>
  <c r="Y49" i="1" s="1"/>
  <c r="AA49" i="1" s="1"/>
  <c r="R37" i="1"/>
  <c r="X37" i="1" s="1"/>
  <c r="Y37" i="1" s="1"/>
  <c r="AA37" i="1" s="1"/>
  <c r="Q37" i="1"/>
  <c r="R18" i="1"/>
  <c r="Q18" i="1"/>
  <c r="Q115" i="1"/>
  <c r="R115" i="1"/>
  <c r="R73" i="1"/>
  <c r="Q73" i="1"/>
  <c r="R56" i="1"/>
  <c r="Q56" i="1"/>
  <c r="X56" i="1" s="1"/>
  <c r="Y56" i="1" s="1"/>
  <c r="AA56" i="1" s="1"/>
  <c r="R44" i="1"/>
  <c r="Q44" i="1"/>
  <c r="R28" i="1"/>
  <c r="Q28" i="1"/>
  <c r="Q110" i="1"/>
  <c r="R110" i="1"/>
  <c r="R68" i="1"/>
  <c r="Q68" i="1"/>
  <c r="X68" i="1" s="1"/>
  <c r="Y68" i="1" s="1"/>
  <c r="AA68" i="1" s="1"/>
  <c r="Q112" i="1"/>
  <c r="X112" i="1" s="1"/>
  <c r="Y112" i="1" s="1"/>
  <c r="AA112" i="1" s="1"/>
  <c r="R112" i="1"/>
  <c r="R80" i="1"/>
  <c r="Q80" i="1"/>
  <c r="R39" i="1"/>
  <c r="Q39" i="1"/>
  <c r="R59" i="1"/>
  <c r="X59" i="1" s="1"/>
  <c r="Y59" i="1" s="1"/>
  <c r="AA59" i="1" s="1"/>
  <c r="Q59" i="1"/>
  <c r="R101" i="1"/>
  <c r="Q101" i="1"/>
  <c r="R67" i="1"/>
  <c r="Q67" i="1"/>
  <c r="R88" i="1"/>
  <c r="Q88" i="1"/>
  <c r="X88" i="1" s="1"/>
  <c r="Y88" i="1" s="1"/>
  <c r="AA88" i="1" s="1"/>
  <c r="Q62" i="1"/>
  <c r="R62" i="1"/>
  <c r="R33" i="1"/>
  <c r="Q33" i="1"/>
  <c r="R111" i="1"/>
  <c r="X111" i="1" s="1"/>
  <c r="Y111" i="1" s="1"/>
  <c r="AA111" i="1" s="1"/>
  <c r="Q111" i="1"/>
  <c r="R87" i="1"/>
  <c r="Q87" i="1"/>
  <c r="R50" i="1"/>
  <c r="Q50" i="1"/>
  <c r="X50" i="1" s="1"/>
  <c r="Y50" i="1" s="1"/>
  <c r="AA50" i="1" s="1"/>
  <c r="R14" i="1"/>
  <c r="Q14" i="1"/>
  <c r="R107" i="1"/>
  <c r="Q107" i="1"/>
  <c r="X107" i="1" s="1"/>
  <c r="Y107" i="1" s="1"/>
  <c r="AA107" i="1" s="1"/>
  <c r="R76" i="1"/>
  <c r="Q76" i="1"/>
  <c r="R60" i="1"/>
  <c r="X60" i="1" s="1"/>
  <c r="Y60" i="1" s="1"/>
  <c r="AA60" i="1" s="1"/>
  <c r="Q60" i="1"/>
  <c r="R20" i="1"/>
  <c r="Q20" i="1"/>
  <c r="X40" i="1"/>
  <c r="Y40" i="1" s="1"/>
  <c r="AA40" i="1" s="1"/>
  <c r="X25" i="1"/>
  <c r="Y25" i="1" s="1"/>
  <c r="AA25" i="1" s="1"/>
  <c r="R86" i="1"/>
  <c r="Q86" i="1"/>
  <c r="R90" i="1"/>
  <c r="Q90" i="1"/>
  <c r="R92" i="1"/>
  <c r="Q92" i="1"/>
  <c r="R64" i="1"/>
  <c r="Q64" i="1"/>
  <c r="X118" i="1"/>
  <c r="Y118" i="1" s="1"/>
  <c r="AA118" i="1" s="1"/>
  <c r="X110" i="1"/>
  <c r="Y110" i="1" s="1"/>
  <c r="AA110" i="1" s="1"/>
  <c r="X108" i="1"/>
  <c r="Y108" i="1" s="1"/>
  <c r="AA108" i="1" s="1"/>
  <c r="X55" i="1"/>
  <c r="Y55" i="1" s="1"/>
  <c r="AA55" i="1" s="1"/>
  <c r="X39" i="1"/>
  <c r="Y39" i="1" s="1"/>
  <c r="AA39" i="1" s="1"/>
  <c r="P122" i="1"/>
  <c r="X46" i="1"/>
  <c r="Y46" i="1" s="1"/>
  <c r="AA46" i="1" s="1"/>
  <c r="X18" i="1"/>
  <c r="Y18" i="1" s="1"/>
  <c r="AA18" i="1" s="1"/>
  <c r="X69" i="1"/>
  <c r="Y69" i="1" s="1"/>
  <c r="AA69" i="1" s="1"/>
  <c r="X79" i="1"/>
  <c r="Y79" i="1" s="1"/>
  <c r="AA79" i="1" s="1"/>
  <c r="R48" i="1"/>
  <c r="Q48" i="1"/>
  <c r="X44" i="1"/>
  <c r="Y44" i="1" s="1"/>
  <c r="AA44" i="1" s="1"/>
  <c r="R17" i="1"/>
  <c r="Q17" i="1"/>
  <c r="X13" i="1"/>
  <c r="Y13" i="1" s="1"/>
  <c r="AA13" i="1" s="1"/>
  <c r="R23" i="1"/>
  <c r="Q23" i="1"/>
  <c r="X14" i="1"/>
  <c r="Y14" i="1" s="1"/>
  <c r="AA14" i="1" s="1"/>
  <c r="X80" i="1"/>
  <c r="Y80" i="1" s="1"/>
  <c r="AA80" i="1" s="1"/>
  <c r="R47" i="1"/>
  <c r="Q47" i="1"/>
  <c r="R31" i="1"/>
  <c r="Q31" i="1"/>
  <c r="R16" i="1"/>
  <c r="Q16" i="1"/>
  <c r="M122" i="1"/>
  <c r="R27" i="1"/>
  <c r="Q27" i="1"/>
  <c r="X19" i="1"/>
  <c r="Y19" i="1" s="1"/>
  <c r="AA19" i="1" s="1"/>
  <c r="X121" i="1"/>
  <c r="Y121" i="1" s="1"/>
  <c r="AA121" i="1" s="1"/>
  <c r="R103" i="1"/>
  <c r="Q103" i="1"/>
  <c r="R98" i="1"/>
  <c r="Q98" i="1"/>
  <c r="X102" i="1"/>
  <c r="Y102" i="1" s="1"/>
  <c r="AA102" i="1" s="1"/>
  <c r="R71" i="1"/>
  <c r="Q71" i="1"/>
  <c r="R58" i="1"/>
  <c r="Q58" i="1"/>
  <c r="X54" i="1"/>
  <c r="Y54" i="1" s="1"/>
  <c r="AA54" i="1" s="1"/>
  <c r="R15" i="1"/>
  <c r="X15" i="1" s="1"/>
  <c r="Y15" i="1" s="1"/>
  <c r="AA15" i="1" s="1"/>
  <c r="Q15" i="1"/>
  <c r="R99" i="1"/>
  <c r="Q99" i="1"/>
  <c r="R97" i="1"/>
  <c r="Q97" i="1"/>
  <c r="X97" i="1" s="1"/>
  <c r="Y97" i="1" s="1"/>
  <c r="AA97" i="1" s="1"/>
  <c r="R70" i="1"/>
  <c r="Q70" i="1"/>
  <c r="X62" i="1"/>
  <c r="Y62" i="1" s="1"/>
  <c r="AA62" i="1" s="1"/>
  <c r="R57" i="1"/>
  <c r="X57" i="1" s="1"/>
  <c r="Y57" i="1" s="1"/>
  <c r="AA57" i="1" s="1"/>
  <c r="Q57" i="1"/>
  <c r="R41" i="1"/>
  <c r="Q41" i="1"/>
  <c r="X41" i="1" s="1"/>
  <c r="Y41" i="1" s="1"/>
  <c r="AA41" i="1" s="1"/>
  <c r="X33" i="1"/>
  <c r="Y33" i="1" s="1"/>
  <c r="AA33" i="1" s="1"/>
  <c r="R26" i="1"/>
  <c r="Q26" i="1"/>
  <c r="X26" i="1" s="1"/>
  <c r="Y26" i="1" s="1"/>
  <c r="AA26" i="1" s="1"/>
  <c r="X22" i="1"/>
  <c r="Y22" i="1" s="1"/>
  <c r="AA22" i="1" s="1"/>
  <c r="Q119" i="1"/>
  <c r="X119" i="1" s="1"/>
  <c r="Y119" i="1" s="1"/>
  <c r="AA119" i="1" s="1"/>
  <c r="R119" i="1"/>
  <c r="X115" i="1"/>
  <c r="Y115" i="1" s="1"/>
  <c r="AA115" i="1" s="1"/>
  <c r="R94" i="1"/>
  <c r="Q94" i="1"/>
  <c r="R93" i="1"/>
  <c r="Q93" i="1"/>
  <c r="X93" i="1" s="1"/>
  <c r="Y93" i="1" s="1"/>
  <c r="AA93" i="1" s="1"/>
  <c r="X73" i="1"/>
  <c r="Y73" i="1" s="1"/>
  <c r="AA73" i="1" s="1"/>
  <c r="R65" i="1"/>
  <c r="Q65" i="1"/>
  <c r="R52" i="1"/>
  <c r="Q52" i="1"/>
  <c r="X52" i="1" s="1"/>
  <c r="Y52" i="1" s="1"/>
  <c r="AA52" i="1" s="1"/>
  <c r="X48" i="1"/>
  <c r="Y48" i="1" s="1"/>
  <c r="AA48" i="1" s="1"/>
  <c r="R36" i="1"/>
  <c r="Q36" i="1"/>
  <c r="X36" i="1" s="1"/>
  <c r="Y36" i="1" s="1"/>
  <c r="AA36" i="1" s="1"/>
  <c r="X28" i="1"/>
  <c r="Y28" i="1" s="1"/>
  <c r="AA28" i="1" s="1"/>
  <c r="R21" i="1"/>
  <c r="Q21" i="1"/>
  <c r="X21" i="1" s="1"/>
  <c r="Y21" i="1" s="1"/>
  <c r="AA21" i="1" s="1"/>
  <c r="X17" i="1"/>
  <c r="Y17" i="1" s="1"/>
  <c r="AA17" i="1" s="1"/>
  <c r="R30" i="1"/>
  <c r="Q30" i="1"/>
  <c r="X23" i="1"/>
  <c r="Y23" i="1" s="1"/>
  <c r="AA23" i="1" s="1"/>
  <c r="Q106" i="1"/>
  <c r="R106" i="1"/>
  <c r="Q114" i="1"/>
  <c r="R114" i="1"/>
  <c r="R51" i="1"/>
  <c r="Q51" i="1"/>
  <c r="R35" i="1"/>
  <c r="Q35" i="1"/>
  <c r="X16" i="1"/>
  <c r="Y16" i="1" s="1"/>
  <c r="AA16" i="1" s="1"/>
  <c r="R34" i="1"/>
  <c r="Q34" i="1"/>
  <c r="R109" i="1"/>
  <c r="Q109" i="1"/>
  <c r="X101" i="1"/>
  <c r="Y101" i="1" s="1"/>
  <c r="AA101" i="1" s="1"/>
  <c r="R85" i="1"/>
  <c r="Q85" i="1"/>
  <c r="X98" i="1"/>
  <c r="Y98" i="1" s="1"/>
  <c r="AA98" i="1" s="1"/>
  <c r="R75" i="1"/>
  <c r="Q75" i="1"/>
  <c r="X67" i="1"/>
  <c r="Y67" i="1" s="1"/>
  <c r="AA67" i="1" s="1"/>
  <c r="R82" i="1"/>
  <c r="Q82" i="1"/>
  <c r="X58" i="1"/>
  <c r="Y58" i="1" s="1"/>
  <c r="AA58" i="1" s="1"/>
  <c r="R38" i="1"/>
  <c r="Q38" i="1"/>
  <c r="R105" i="1"/>
  <c r="Q105" i="1"/>
  <c r="R84" i="1"/>
  <c r="Q84" i="1"/>
  <c r="R74" i="1"/>
  <c r="Q74" i="1"/>
  <c r="R81" i="1"/>
  <c r="Q81" i="1"/>
  <c r="R45" i="1"/>
  <c r="Q45" i="1"/>
  <c r="R29" i="1"/>
  <c r="Q29" i="1"/>
  <c r="Q113" i="1"/>
  <c r="R113" i="1"/>
  <c r="R95" i="1"/>
  <c r="Q95" i="1"/>
  <c r="X87" i="1"/>
  <c r="Y87" i="1" s="1"/>
  <c r="AA87" i="1" s="1"/>
  <c r="N12" i="1"/>
  <c r="O12" i="1" s="1"/>
  <c r="X64" i="1" l="1"/>
  <c r="Y64" i="1" s="1"/>
  <c r="AA64" i="1" s="1"/>
  <c r="X113" i="1"/>
  <c r="Y113" i="1" s="1"/>
  <c r="AA113" i="1" s="1"/>
  <c r="X106" i="1"/>
  <c r="Y106" i="1" s="1"/>
  <c r="AA106" i="1" s="1"/>
  <c r="X86" i="1"/>
  <c r="Y86" i="1" s="1"/>
  <c r="AA86" i="1" s="1"/>
  <c r="X76" i="1"/>
  <c r="Y76" i="1" s="1"/>
  <c r="AA76" i="1" s="1"/>
  <c r="X95" i="1"/>
  <c r="Y95" i="1" s="1"/>
  <c r="AA95" i="1" s="1"/>
  <c r="X81" i="1"/>
  <c r="Y81" i="1" s="1"/>
  <c r="AA81" i="1" s="1"/>
  <c r="X105" i="1"/>
  <c r="Y105" i="1" s="1"/>
  <c r="AA105" i="1" s="1"/>
  <c r="X85" i="1"/>
  <c r="Y85" i="1" s="1"/>
  <c r="AA85" i="1" s="1"/>
  <c r="X35" i="1"/>
  <c r="Y35" i="1" s="1"/>
  <c r="AA35" i="1" s="1"/>
  <c r="X70" i="1"/>
  <c r="Y70" i="1" s="1"/>
  <c r="AA70" i="1" s="1"/>
  <c r="X71" i="1"/>
  <c r="Y71" i="1" s="1"/>
  <c r="AA71" i="1" s="1"/>
  <c r="X20" i="1"/>
  <c r="Y20" i="1" s="1"/>
  <c r="AA20" i="1" s="1"/>
  <c r="X29" i="1"/>
  <c r="Y29" i="1" s="1"/>
  <c r="AA29" i="1" s="1"/>
  <c r="X84" i="1"/>
  <c r="Y84" i="1" s="1"/>
  <c r="AA84" i="1" s="1"/>
  <c r="X82" i="1"/>
  <c r="Y82" i="1" s="1"/>
  <c r="AA82" i="1" s="1"/>
  <c r="X51" i="1"/>
  <c r="Y51" i="1" s="1"/>
  <c r="AA51" i="1" s="1"/>
  <c r="X114" i="1"/>
  <c r="Y114" i="1" s="1"/>
  <c r="AA114" i="1" s="1"/>
  <c r="X30" i="1"/>
  <c r="Y30" i="1" s="1"/>
  <c r="AA30" i="1" s="1"/>
  <c r="X103" i="1"/>
  <c r="Y103" i="1" s="1"/>
  <c r="AA103" i="1" s="1"/>
  <c r="X27" i="1"/>
  <c r="Y27" i="1" s="1"/>
  <c r="AA27" i="1" s="1"/>
  <c r="X47" i="1"/>
  <c r="Y47" i="1" s="1"/>
  <c r="AA47" i="1" s="1"/>
  <c r="X92" i="1"/>
  <c r="Y92" i="1" s="1"/>
  <c r="AA92" i="1" s="1"/>
  <c r="X90" i="1"/>
  <c r="Y90" i="1" s="1"/>
  <c r="AA90" i="1" s="1"/>
  <c r="X74" i="1"/>
  <c r="Y74" i="1" s="1"/>
  <c r="AA74" i="1" s="1"/>
  <c r="X38" i="1"/>
  <c r="Y38" i="1" s="1"/>
  <c r="AA38" i="1" s="1"/>
  <c r="X109" i="1"/>
  <c r="Y109" i="1" s="1"/>
  <c r="AA109" i="1" s="1"/>
  <c r="X94" i="1"/>
  <c r="Y94" i="1" s="1"/>
  <c r="AA94" i="1" s="1"/>
  <c r="X99" i="1"/>
  <c r="Y99" i="1" s="1"/>
  <c r="AA99" i="1" s="1"/>
  <c r="X31" i="1"/>
  <c r="Y31" i="1" s="1"/>
  <c r="AA31" i="1" s="1"/>
  <c r="X45" i="1"/>
  <c r="Y45" i="1" s="1"/>
  <c r="AA45" i="1" s="1"/>
  <c r="X75" i="1"/>
  <c r="Y75" i="1" s="1"/>
  <c r="AA75" i="1" s="1"/>
  <c r="X34" i="1"/>
  <c r="Y34" i="1" s="1"/>
  <c r="AA34" i="1" s="1"/>
  <c r="X65" i="1"/>
  <c r="Y65" i="1" s="1"/>
  <c r="AA65" i="1" s="1"/>
  <c r="N122" i="1"/>
  <c r="O122" i="1" l="1"/>
  <c r="R12" i="1"/>
  <c r="R122" i="1" s="1"/>
  <c r="Q12" i="1"/>
  <c r="Q122" i="1" l="1"/>
  <c r="X12" i="1"/>
  <c r="X122" i="1" l="1"/>
  <c r="Y12" i="1"/>
  <c r="Y122" i="1" l="1"/>
  <c r="AA12" i="1"/>
  <c r="AA122" i="1" l="1"/>
</calcChain>
</file>

<file path=xl/sharedStrings.xml><?xml version="1.0" encoding="utf-8"?>
<sst xmlns="http://schemas.openxmlformats.org/spreadsheetml/2006/main" count="155" uniqueCount="140">
  <si>
    <t xml:space="preserve"> </t>
  </si>
  <si>
    <t>KFIL SOLAPUR Wages Register for the Month of APR-26</t>
  </si>
  <si>
    <t>Sr No</t>
  </si>
  <si>
    <t>UAN NO</t>
  </si>
  <si>
    <t xml:space="preserve">ESICNO </t>
  </si>
  <si>
    <t>FULL NAME OF EMPLOYEE</t>
  </si>
  <si>
    <t>Rate Per Day</t>
  </si>
  <si>
    <t>Total Days worked</t>
  </si>
  <si>
    <t>Total OT Days</t>
  </si>
  <si>
    <t xml:space="preserve">Days Total </t>
  </si>
  <si>
    <t>BASIC PAY</t>
  </si>
  <si>
    <t>OT PAY</t>
  </si>
  <si>
    <t>GROSS WAGES PAYABLE</t>
  </si>
  <si>
    <t>BASIC+DA</t>
  </si>
  <si>
    <t>HRA</t>
  </si>
  <si>
    <t>OTHER</t>
  </si>
  <si>
    <t xml:space="preserve">LEGAL GROSS WAGES PAYABLE </t>
  </si>
  <si>
    <t>Deduction Parts</t>
  </si>
  <si>
    <t>Net Wages</t>
  </si>
  <si>
    <t xml:space="preserve">Other </t>
  </si>
  <si>
    <t>FINAL PAY</t>
  </si>
  <si>
    <t>PF</t>
  </si>
  <si>
    <t>PT</t>
  </si>
  <si>
    <t>ESIC</t>
  </si>
  <si>
    <t>Remening Adv(Dif)</t>
  </si>
  <si>
    <t>Advance jamadar</t>
  </si>
  <si>
    <t>CANTEEN</t>
  </si>
  <si>
    <t>cupan</t>
  </si>
  <si>
    <t>account adv</t>
  </si>
  <si>
    <t>Total deduction</t>
  </si>
  <si>
    <t>Mr. ABHIJIT PIRAPPA WAGHMARE</t>
  </si>
  <si>
    <t>Mr. AKASH JAGNNATH TENGALE</t>
  </si>
  <si>
    <t>Mr. AKIB SHAIKH</t>
  </si>
  <si>
    <t>Mr. AMOL TEJU RATHOD</t>
  </si>
  <si>
    <t>Mr. ANIKET SHRIPATI DANGE</t>
  </si>
  <si>
    <t>Mr. ANIL G MALI</t>
  </si>
  <si>
    <t>Mr. ANKUASH SANJAY BHALE</t>
  </si>
  <si>
    <t>Mr. ARBAJ AMIN JAMADAR</t>
  </si>
  <si>
    <t>Mr. AYAN ARIF USTAD</t>
  </si>
  <si>
    <t>Mr. RAJAKUMAR BADIGER</t>
  </si>
  <si>
    <t>Mr. BANDENAWAJ SAIPAN MULLA</t>
  </si>
  <si>
    <t>Mr. BSAVRAJ IRANNA TALWAR</t>
  </si>
  <si>
    <t>Mr. BASAVRAJ SHIVANNA KOLI</t>
  </si>
  <si>
    <t>Mr. BASAVARAJ SHRISHAIL SODDE</t>
  </si>
  <si>
    <t>Mr. BASAVRAJ SOMNATH KARKALE</t>
  </si>
  <si>
    <t>Mr. BHARAT SANTOSH SARADE</t>
  </si>
  <si>
    <t>Mr. BHIMAHSNKAR SHARNAPPA ISHWARKATTI</t>
  </si>
  <si>
    <t>Mr. KADERKAR CHINTAMANI SHAMRAO</t>
  </si>
  <si>
    <t>Mr. RUSHIKESH CHANDRAKANT CHOUGULE</t>
  </si>
  <si>
    <t>Mr. DARGAPPA SHIVANAND ARWAT</t>
  </si>
  <si>
    <t>Mr. WAGHMODE DATTATRAY ASHOK</t>
  </si>
  <si>
    <t>Mr. DAVALSAB MATTU NADAF</t>
  </si>
  <si>
    <t>Mr. DINESH VASANT SALGAR</t>
  </si>
  <si>
    <t>Mr. DIPAK DATTATRAY KUMBHAR</t>
  </si>
  <si>
    <t>Mr. DNYANESHWAR BHAGAVANT WAGHAMARE</t>
  </si>
  <si>
    <t>Mr. SIDDHRAM MAHANINGAPPA DOMBE</t>
  </si>
  <si>
    <t>Mr. GHENSIDDHA AMASIDHDA VANAMANE</t>
  </si>
  <si>
    <t>Mr. SACHIN BHAGWAN GHANTE</t>
  </si>
  <si>
    <t>Mr. GIRISH SIDDHARAM MADYAL</t>
  </si>
  <si>
    <t>Mr. HARUN BASHA MULLA</t>
  </si>
  <si>
    <t>Mr. NANDURE HEMANT ANAVIRAPPA</t>
  </si>
  <si>
    <t>Mr. MANIK GURULINGAYA HIREMATH</t>
  </si>
  <si>
    <t>Mr. YUVRAJ MALAKARI HIRKURE</t>
  </si>
  <si>
    <t>Mr. HUSEN NADAF</t>
  </si>
  <si>
    <t>Mr. IRANNA SIDDHARAM KANNI</t>
  </si>
  <si>
    <t>Mr. JAVED AJMODDIN NADAF</t>
  </si>
  <si>
    <t>Mr. JITENDRA SIDRAM KOLI</t>
  </si>
  <si>
    <t>Mr. KASHINATH ABHIMANYU PATIL</t>
  </si>
  <si>
    <t>Mr. KASHINATH JAGANATH BIRJADAR</t>
  </si>
  <si>
    <t>Mr. KHALID ILAI SHAIKH</t>
  </si>
  <si>
    <t>Mr. SANDIP CHANDRAKANT KHATAL</t>
  </si>
  <si>
    <t>Mr. KHAJASAHEB GULAB HIMONE</t>
  </si>
  <si>
    <t>Mr. KISHOR JYOTIBA MORE</t>
  </si>
  <si>
    <t>Mr. PRAKASH</t>
  </si>
  <si>
    <t>Mr. SHAVRSIDDHA KHANDAPPA LANDAGE</t>
  </si>
  <si>
    <t>Mr. MAHESH BABUSHA LANDAGE</t>
  </si>
  <si>
    <t>Mr. MALLINATH SHIVARAM VHANAKADE</t>
  </si>
  <si>
    <t>Mr. MANGESH NAVNATH ANKUSHRAO</t>
  </si>
  <si>
    <t>Mr. MOIN GULAB MULLA</t>
  </si>
  <si>
    <t>Mr. MUSHTAK RASHID SHAIKH</t>
  </si>
  <si>
    <t>Mr. ARBAZ NADAF</t>
  </si>
  <si>
    <t>Mr. NAMDEV DURGAPPA BANDGAR</t>
  </si>
  <si>
    <t>Mr. SHAHANVAJ MURTUJ PATHAN</t>
  </si>
  <si>
    <t>Mr. PRABHAKAR BIRAPPA NAYKUDE</t>
  </si>
  <si>
    <t>Mr. PUNDALIK CHANDU JADHAV</t>
  </si>
  <si>
    <t>Mr. ABHISHEK SUNIL RATHOD</t>
  </si>
  <si>
    <t>Mr. REVANASIDDH SHIVAPPA ISHWARKATTI</t>
  </si>
  <si>
    <t>Mr. SAGAR CHANDRASHEKHAR PATIL</t>
  </si>
  <si>
    <t>Mr. SAGAR BASAVRAJ ARJUN</t>
  </si>
  <si>
    <t>Mr. SAGAR MALAKARI KOLI</t>
  </si>
  <si>
    <t>Mr. SAISAMARTH VITTHAL ZAMPALE</t>
  </si>
  <si>
    <t>Mr. SAMARTH IRANNA DHAVANE</t>
  </si>
  <si>
    <t>Mr. SANTOSH LAXMAN KOLI</t>
  </si>
  <si>
    <t>Mr. SATISH SHIVAJI SHINDE</t>
  </si>
  <si>
    <t>Mr. SHARANAPPA KHEDAGIKAR</t>
  </si>
  <si>
    <t>Mr. SHIVANAND KANTAPPA KOSHTI</t>
  </si>
  <si>
    <t>Mr. SOHEL SAHEBLAL JAMADAR</t>
  </si>
  <si>
    <t>Mr. SUDHAKAR BHIMASHANKAR KOGANURE</t>
  </si>
  <si>
    <t>Mr. SUFIYAN SHEKULAL FULARI</t>
  </si>
  <si>
    <t>Mr. VIJAY BHARLE</t>
  </si>
  <si>
    <t>Mr. VIJAY MANE</t>
  </si>
  <si>
    <t>Mr. VISHAL MOHAN MANE</t>
  </si>
  <si>
    <t>Mr. VISHAL SURESH MANE</t>
  </si>
  <si>
    <t>Mr. GANGADHAR TUKARAM WAGHULE</t>
  </si>
  <si>
    <t>Mr. VISHAL RAJKUMAR KOLI</t>
  </si>
  <si>
    <t>Mr. KASHINATH SIDHARAM TOLANURE</t>
  </si>
  <si>
    <t>Mr. DHANRAJ DATTATRAY SHINDE</t>
  </si>
  <si>
    <t>Mr. GURURAJ MAHANTESH PAGA</t>
  </si>
  <si>
    <t>Mr. SAI MAHESH KATKAR</t>
  </si>
  <si>
    <t>Mr. ROHAN BABURAV PANDIT</t>
  </si>
  <si>
    <t>Mr. AVINASH NILKANTH PATANGE</t>
  </si>
  <si>
    <t>Mr. RAJSHEKHAR ANDODGI</t>
  </si>
  <si>
    <t>Mr. RAKESH ASHOK RAUT</t>
  </si>
  <si>
    <t>Mr. PRASHANT RAJU KOLI</t>
  </si>
  <si>
    <t>Mr. KUNDAN SANJAY GAIKWAD</t>
  </si>
  <si>
    <t>Mr. ANIL KUMAR RAWAT</t>
  </si>
  <si>
    <t>Mr. SAGAR RAMESH GHARSANGI</t>
  </si>
  <si>
    <t>Mr. NAGANATH KASHINATH SONWANE</t>
  </si>
  <si>
    <t>AJAY SHRINIVAS PENTA</t>
  </si>
  <si>
    <t>JOTINATH DEVGAN</t>
  </si>
  <si>
    <t>SAMARTH MANJUNATH SIRSAT</t>
  </si>
  <si>
    <t>RAHUL BALU CHAVHAN</t>
  </si>
  <si>
    <t>TURBE PARSHURAM MARUTI</t>
  </si>
  <si>
    <t>DHANNAJAY  AMBURE</t>
  </si>
  <si>
    <t>SANJAY GOPINATH BANDGAR</t>
  </si>
  <si>
    <t>ARJUN HIRACHAND BANDAGAR</t>
  </si>
  <si>
    <t>NAGESG REVANSIDHHA BIRAJDAR</t>
  </si>
  <si>
    <t>SHANKAR GIRMAL MALI</t>
  </si>
  <si>
    <t>KUSHAL PRASAD</t>
  </si>
  <si>
    <t>CHANDRABHAN SINGH</t>
  </si>
  <si>
    <t>YUPENDRA KUMAR SINGH</t>
  </si>
  <si>
    <t>KHELAVAN SINGH</t>
  </si>
  <si>
    <t>RAGHVENDRA SINGH</t>
  </si>
  <si>
    <t>CHAINSINGH CHINTASINGH MASARAM</t>
  </si>
  <si>
    <t>BAGALE NILESH</t>
  </si>
  <si>
    <t>ABDULAZIZ MALLABADKAR</t>
  </si>
  <si>
    <t>YASH LAVHU KUMBHAR</t>
  </si>
  <si>
    <t>SAQIB SAYYAD</t>
  </si>
  <si>
    <t>WAGHMARE  SUNIL GANPAT</t>
  </si>
  <si>
    <t>DESHMUKH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</si>
</sst>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_(* #,##0_);_(* \(#,##0\);_(* &quot;-&quot;??_);_(@_)"/>
    <numFmt numFmtId="167" formatCode="_(&quot;Rs.&quot;* #,##0.00_);_(&quot;Rs.&quot;* \(#,##0.00\);_(&quot;Rs.&quot;* &quot;-&quot;??_);_(@_)"/>
    <numFmt numFmtId="168" formatCode="[$-F800]dddd\,\ mmmm\ dd\,\ yyyy"/>
    <numFmt numFmtId="169" formatCode="[$₹-4009]#,##0.00;[Red]&quot;-&quot;[$₹-4009]#,##0.00"/>
  </numFmts>
  <fonts count="52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rgb="FF000000"/>
      <name val="Liberation Sans"/>
      <charset val="134"/>
    </font>
    <font>
      <sz val="10"/>
      <color rgb="FFFFFFFF"/>
      <name val="Liberation Sans"/>
      <charset val="134"/>
    </font>
    <font>
      <sz val="11"/>
      <color indexed="20"/>
      <name val="Calibri"/>
      <family val="2"/>
    </font>
    <font>
      <sz val="10"/>
      <color rgb="FFCC0000"/>
      <name val="Liberation Sans"/>
      <charset val="13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rgb="FFFFFFFF"/>
      <name val="Liberation Sans"/>
      <charset val="134"/>
    </font>
    <font>
      <i/>
      <sz val="11"/>
      <color indexed="23"/>
      <name val="Calibri"/>
      <family val="2"/>
    </font>
    <font>
      <i/>
      <sz val="10"/>
      <color rgb="FF808080"/>
      <name val="Liberation Sans"/>
      <charset val="134"/>
    </font>
    <font>
      <sz val="11"/>
      <color indexed="17"/>
      <name val="Calibri"/>
      <family val="2"/>
    </font>
    <font>
      <sz val="10"/>
      <color rgb="FF006600"/>
      <name val="Liberation Sans"/>
      <charset val="134"/>
    </font>
    <font>
      <b/>
      <sz val="24"/>
      <color rgb="FF000000"/>
      <name val="Liberation Sans"/>
      <charset val="134"/>
    </font>
    <font>
      <b/>
      <sz val="15"/>
      <color indexed="56"/>
      <name val="Calibri"/>
      <family val="2"/>
    </font>
    <font>
      <sz val="18"/>
      <color rgb="FF000000"/>
      <name val="Liberation Sans"/>
      <charset val="134"/>
    </font>
    <font>
      <b/>
      <sz val="13"/>
      <color indexed="56"/>
      <name val="Calibri"/>
      <family val="2"/>
    </font>
    <font>
      <sz val="12"/>
      <color rgb="FF000000"/>
      <name val="Liberation Sans"/>
      <charset val="134"/>
    </font>
    <font>
      <b/>
      <sz val="11"/>
      <color indexed="56"/>
      <name val="Calibri"/>
      <family val="2"/>
    </font>
    <font>
      <b/>
      <i/>
      <sz val="16"/>
      <color theme="1"/>
      <name val="Arial"/>
      <family val="2"/>
    </font>
    <font>
      <b/>
      <i/>
      <sz val="16"/>
      <color theme="1"/>
      <name val="Liberation Sans"/>
      <charset val="134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rgb="FF996600"/>
      <name val="Liberation Sans"/>
      <charset val="134"/>
    </font>
    <font>
      <sz val="11"/>
      <name val="Calibri"/>
      <family val="2"/>
    </font>
    <font>
      <sz val="11"/>
      <color rgb="FF000000"/>
      <name val="Liberation Sans"/>
      <charset val="134"/>
    </font>
    <font>
      <sz val="10"/>
      <color indexed="8"/>
      <name val="Arial"/>
      <family val="2"/>
    </font>
    <font>
      <sz val="11"/>
      <color theme="1"/>
      <name val="Liberation Sans"/>
      <charset val="134"/>
    </font>
    <font>
      <sz val="11"/>
      <color theme="1"/>
      <name val="Arial"/>
      <family val="2"/>
    </font>
    <font>
      <sz val="10"/>
      <color rgb="FF333333"/>
      <name val="Liberation Sans"/>
      <charset val="134"/>
    </font>
    <font>
      <b/>
      <sz val="11"/>
      <color indexed="63"/>
      <name val="Calibri"/>
      <family val="2"/>
    </font>
    <font>
      <b/>
      <i/>
      <u/>
      <sz val="11"/>
      <color theme="1"/>
      <name val="Liberation Sans"/>
      <charset val="134"/>
    </font>
    <font>
      <b/>
      <i/>
      <u/>
      <sz val="11"/>
      <color theme="1"/>
      <name val="Arial"/>
      <family val="2"/>
    </font>
    <font>
      <sz val="10"/>
      <name val="Helv"/>
      <charset val="204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13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7" fillId="0" borderId="0"/>
    <xf numFmtId="164" fontId="2" fillId="0" borderId="0" applyFont="0" applyFill="0" applyBorder="0" applyAlignment="0" applyProtection="0"/>
    <xf numFmtId="0" fontId="8" fillId="0" borderId="0"/>
    <xf numFmtId="0" fontId="12" fillId="0" borderId="0"/>
    <xf numFmtId="0" fontId="12" fillId="0" borderId="0">
      <alignment vertical="top"/>
    </xf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0" borderId="0"/>
    <xf numFmtId="0" fontId="16" fillId="20" borderId="0"/>
    <xf numFmtId="0" fontId="16" fillId="20" borderId="0"/>
    <xf numFmtId="0" fontId="16" fillId="21" borderId="0"/>
    <xf numFmtId="0" fontId="16" fillId="21" borderId="0"/>
    <xf numFmtId="0" fontId="15" fillId="22" borderId="0"/>
    <xf numFmtId="0" fontId="15" fillId="22" borderId="0"/>
    <xf numFmtId="0" fontId="15" fillId="0" borderId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26" borderId="0" applyNumberFormat="0" applyBorder="0" applyAlignment="0" applyProtection="0"/>
    <xf numFmtId="0" fontId="17" fillId="7" borderId="0" applyNumberFormat="0" applyBorder="0" applyAlignment="0" applyProtection="0"/>
    <xf numFmtId="0" fontId="18" fillId="27" borderId="0"/>
    <xf numFmtId="0" fontId="18" fillId="27" borderId="0"/>
    <xf numFmtId="0" fontId="19" fillId="28" borderId="6" applyNumberFormat="0" applyAlignment="0" applyProtection="0"/>
    <xf numFmtId="0" fontId="19" fillId="28" borderId="6" applyNumberFormat="0" applyAlignment="0" applyProtection="0"/>
    <xf numFmtId="0" fontId="20" fillId="29" borderId="7" applyNumberFormat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2" fillId="0" borderId="0" applyFont="0" applyFill="0" applyBorder="0" applyAlignment="0" applyProtection="0"/>
    <xf numFmtId="0" fontId="21" fillId="30" borderId="0"/>
    <xf numFmtId="0" fontId="21" fillId="30" borderId="0"/>
    <xf numFmtId="0" fontId="12" fillId="0" borderId="0"/>
    <xf numFmtId="0" fontId="10" fillId="0" borderId="0">
      <alignment vertical="center"/>
    </xf>
    <xf numFmtId="0" fontId="12" fillId="0" borderId="0"/>
    <xf numFmtId="0" fontId="22" fillId="0" borderId="0" applyNumberFormat="0" applyFill="0" applyBorder="0" applyAlignment="0" applyProtection="0"/>
    <xf numFmtId="0" fontId="23" fillId="0" borderId="0"/>
    <xf numFmtId="0" fontId="23" fillId="0" borderId="0"/>
    <xf numFmtId="0" fontId="24" fillId="8" borderId="0" applyNumberFormat="0" applyBorder="0" applyAlignment="0" applyProtection="0"/>
    <xf numFmtId="0" fontId="25" fillId="31" borderId="0"/>
    <xf numFmtId="0" fontId="25" fillId="31" borderId="0"/>
    <xf numFmtId="0" fontId="26" fillId="0" borderId="0"/>
    <xf numFmtId="0" fontId="27" fillId="0" borderId="8" applyNumberFormat="0" applyFill="0" applyAlignment="0" applyProtection="0"/>
    <xf numFmtId="0" fontId="28" fillId="0" borderId="0"/>
    <xf numFmtId="0" fontId="28" fillId="0" borderId="0"/>
    <xf numFmtId="0" fontId="29" fillId="0" borderId="9" applyNumberFormat="0" applyFill="0" applyAlignment="0" applyProtection="0"/>
    <xf numFmtId="0" fontId="30" fillId="0" borderId="0"/>
    <xf numFmtId="0" fontId="30" fillId="0" borderId="0"/>
    <xf numFmtId="0" fontId="31" fillId="0" borderId="10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0">
      <alignment horizontal="center"/>
    </xf>
    <xf numFmtId="0" fontId="26" fillId="0" borderId="0"/>
    <xf numFmtId="0" fontId="32" fillId="0" borderId="0">
      <alignment horizontal="center"/>
    </xf>
    <xf numFmtId="0" fontId="33" fillId="0" borderId="0">
      <alignment horizontal="center"/>
    </xf>
    <xf numFmtId="0" fontId="26" fillId="0" borderId="0">
      <alignment textRotation="90"/>
    </xf>
    <xf numFmtId="0" fontId="32" fillId="0" borderId="0">
      <alignment horizontal="center" textRotation="90"/>
    </xf>
    <xf numFmtId="0" fontId="26" fillId="0" borderId="0">
      <alignment textRotation="90"/>
    </xf>
    <xf numFmtId="0" fontId="34" fillId="0" borderId="0" applyNumberFormat="0" applyFill="0" applyBorder="0" applyAlignment="0" applyProtection="0"/>
    <xf numFmtId="0" fontId="35" fillId="11" borderId="6" applyNumberFormat="0" applyAlignment="0" applyProtection="0"/>
    <xf numFmtId="0" fontId="35" fillId="11" borderId="6" applyNumberFormat="0" applyAlignment="0" applyProtection="0"/>
    <xf numFmtId="0" fontId="36" fillId="0" borderId="11" applyNumberFormat="0" applyFill="0" applyAlignment="0" applyProtection="0"/>
    <xf numFmtId="0" fontId="37" fillId="32" borderId="0" applyNumberFormat="0" applyBorder="0" applyAlignment="0" applyProtection="0"/>
    <xf numFmtId="0" fontId="38" fillId="33" borderId="0"/>
    <xf numFmtId="0" fontId="38" fillId="33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13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2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40" fillId="0" borderId="0"/>
    <xf numFmtId="0" fontId="41" fillId="0" borderId="0">
      <alignment vertical="top"/>
    </xf>
    <xf numFmtId="0" fontId="40" fillId="0" borderId="0"/>
    <xf numFmtId="0" fontId="12" fillId="0" borderId="0"/>
    <xf numFmtId="0" fontId="1" fillId="0" borderId="0"/>
    <xf numFmtId="166" fontId="12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42" fillId="0" borderId="0"/>
    <xf numFmtId="0" fontId="12" fillId="0" borderId="0"/>
    <xf numFmtId="0" fontId="1" fillId="0" borderId="0"/>
    <xf numFmtId="168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2" fillId="0" borderId="0"/>
    <xf numFmtId="0" fontId="43" fillId="0" borderId="0"/>
    <xf numFmtId="0" fontId="12" fillId="0" borderId="0"/>
    <xf numFmtId="0" fontId="42" fillId="0" borderId="0"/>
    <xf numFmtId="0" fontId="1" fillId="0" borderId="0"/>
    <xf numFmtId="0" fontId="1" fillId="0" borderId="0"/>
    <xf numFmtId="0" fontId="41" fillId="0" borderId="0">
      <alignment vertical="top"/>
    </xf>
    <xf numFmtId="0" fontId="12" fillId="0" borderId="0"/>
    <xf numFmtId="168" fontId="12" fillId="0" borderId="0"/>
    <xf numFmtId="0" fontId="12" fillId="0" borderId="0"/>
    <xf numFmtId="0" fontId="43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39" fillId="0" borderId="0"/>
    <xf numFmtId="168" fontId="1" fillId="0" borderId="0"/>
    <xf numFmtId="168" fontId="1" fillId="0" borderId="0"/>
    <xf numFmtId="0" fontId="12" fillId="34" borderId="12" applyNumberFormat="0" applyFont="0" applyAlignment="0" applyProtection="0"/>
    <xf numFmtId="0" fontId="44" fillId="33" borderId="13"/>
    <xf numFmtId="0" fontId="12" fillId="34" borderId="12" applyNumberFormat="0" applyFont="0" applyAlignment="0" applyProtection="0"/>
    <xf numFmtId="0" fontId="44" fillId="33" borderId="13"/>
    <xf numFmtId="0" fontId="45" fillId="28" borderId="14" applyNumberFormat="0" applyAlignment="0" applyProtection="0"/>
    <xf numFmtId="0" fontId="45" fillId="28" borderId="14" applyNumberFormat="0" applyAlignment="0" applyProtection="0"/>
    <xf numFmtId="0" fontId="46" fillId="0" borderId="0"/>
    <xf numFmtId="0" fontId="47" fillId="0" borderId="0"/>
    <xf numFmtId="0" fontId="46" fillId="0" borderId="0"/>
    <xf numFmtId="169" fontId="46" fillId="0" borderId="0"/>
    <xf numFmtId="169" fontId="47" fillId="0" borderId="0"/>
    <xf numFmtId="169" fontId="46" fillId="0" borderId="0"/>
    <xf numFmtId="0" fontId="42" fillId="0" borderId="0"/>
    <xf numFmtId="0" fontId="42" fillId="0" borderId="0"/>
    <xf numFmtId="0" fontId="48" fillId="0" borderId="0"/>
    <xf numFmtId="0" fontId="42" fillId="0" borderId="0"/>
    <xf numFmtId="0" fontId="42" fillId="0" borderId="0"/>
    <xf numFmtId="0" fontId="49" fillId="0" borderId="0" applyNumberFormat="0" applyFill="0" applyBorder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18" fillId="0" borderId="0"/>
    <xf numFmtId="0" fontId="18" fillId="0" borderId="0"/>
    <xf numFmtId="0" fontId="51" fillId="0" borderId="0" applyNumberFormat="0" applyFill="0" applyBorder="0" applyAlignment="0" applyProtection="0"/>
    <xf numFmtId="0" fontId="12" fillId="34" borderId="0" applyNumberFormat="0" applyFont="0" applyBorder="0" applyAlignment="0" applyProtection="0"/>
    <xf numFmtId="0" fontId="12" fillId="34" borderId="0" applyNumberFormat="0" applyFont="0" applyBorder="0" applyAlignment="0" applyProtection="0"/>
  </cellStyleXfs>
  <cellXfs count="93">
    <xf numFmtId="0" fontId="0" fillId="0" borderId="0" xfId="0"/>
    <xf numFmtId="0" fontId="3" fillId="0" borderId="0" xfId="1" applyFont="1" applyAlignment="1">
      <alignment vertical="center"/>
    </xf>
    <xf numFmtId="1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165" fontId="4" fillId="0" borderId="0" xfId="1" applyNumberFormat="1" applyFont="1" applyAlignment="1">
      <alignment horizontal="center" vertical="center" wrapText="1"/>
    </xf>
    <xf numFmtId="166" fontId="3" fillId="0" borderId="0" xfId="2" applyNumberFormat="1" applyFont="1" applyFill="1" applyBorder="1" applyAlignment="1">
      <alignment vertical="center"/>
    </xf>
    <xf numFmtId="165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textRotation="90" wrapText="1"/>
    </xf>
    <xf numFmtId="0" fontId="3" fillId="0" borderId="0" xfId="1" applyFont="1" applyAlignment="1">
      <alignment horizontal="center" vertical="center" textRotation="90"/>
    </xf>
    <xf numFmtId="0" fontId="3" fillId="2" borderId="0" xfId="1" applyFont="1" applyFill="1" applyAlignment="1">
      <alignment horizontal="center" vertical="center" textRotation="90" wrapText="1"/>
    </xf>
    <xf numFmtId="0" fontId="4" fillId="2" borderId="0" xfId="1" applyFont="1" applyFill="1" applyAlignment="1">
      <alignment horizontal="center" vertical="center" wrapText="1"/>
    </xf>
    <xf numFmtId="2" fontId="3" fillId="0" borderId="0" xfId="1" applyNumberFormat="1" applyFont="1" applyAlignment="1">
      <alignment vertical="center" wrapText="1"/>
    </xf>
    <xf numFmtId="2" fontId="3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1" fontId="4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vertical="center"/>
    </xf>
    <xf numFmtId="0" fontId="5" fillId="0" borderId="0" xfId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166" fontId="5" fillId="0" borderId="0" xfId="1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1" fontId="3" fillId="0" borderId="1" xfId="1" applyNumberFormat="1" applyFont="1" applyBorder="1"/>
    <xf numFmtId="0" fontId="7" fillId="2" borderId="2" xfId="3" applyFill="1" applyBorder="1" applyAlignment="1">
      <alignment horizontal="center"/>
    </xf>
    <xf numFmtId="0" fontId="7" fillId="0" borderId="1" xfId="3" applyBorder="1"/>
    <xf numFmtId="1" fontId="6" fillId="0" borderId="1" xfId="4" applyNumberFormat="1" applyFont="1" applyFill="1" applyBorder="1" applyAlignment="1">
      <alignment horizontal="center" vertical="center"/>
    </xf>
    <xf numFmtId="0" fontId="7" fillId="3" borderId="2" xfId="3" applyFill="1" applyBorder="1"/>
    <xf numFmtId="0" fontId="6" fillId="0" borderId="1" xfId="3" applyFont="1" applyBorder="1" applyAlignment="1">
      <alignment vertical="center"/>
    </xf>
    <xf numFmtId="43" fontId="6" fillId="0" borderId="1" xfId="2" applyFont="1" applyFill="1" applyBorder="1" applyAlignment="1">
      <alignment horizontal="center" vertical="center"/>
    </xf>
    <xf numFmtId="166" fontId="6" fillId="0" borderId="1" xfId="2" applyNumberFormat="1" applyFont="1" applyFill="1" applyBorder="1" applyAlignment="1">
      <alignment vertical="center"/>
    </xf>
    <xf numFmtId="166" fontId="6" fillId="0" borderId="1" xfId="2" applyNumberFormat="1" applyFont="1" applyFill="1" applyBorder="1" applyAlignment="1">
      <alignment horizontal="center" vertical="center"/>
    </xf>
    <xf numFmtId="1" fontId="7" fillId="0" borderId="1" xfId="3" applyNumberFormat="1" applyBorder="1" applyAlignment="1">
      <alignment horizontal="right"/>
    </xf>
    <xf numFmtId="166" fontId="5" fillId="0" borderId="1" xfId="2" applyNumberFormat="1" applyFont="1" applyFill="1" applyBorder="1" applyAlignment="1">
      <alignment vertical="center"/>
    </xf>
    <xf numFmtId="0" fontId="6" fillId="0" borderId="1" xfId="3" applyFont="1" applyBorder="1"/>
    <xf numFmtId="0" fontId="6" fillId="0" borderId="0" xfId="1" applyFont="1" applyAlignment="1">
      <alignment vertical="center"/>
    </xf>
    <xf numFmtId="0" fontId="7" fillId="3" borderId="1" xfId="3" applyFill="1" applyBorder="1"/>
    <xf numFmtId="1" fontId="0" fillId="0" borderId="1" xfId="0" applyNumberForma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6" fillId="2" borderId="0" xfId="1" applyFont="1" applyFill="1" applyAlignment="1">
      <alignment vertical="center"/>
    </xf>
    <xf numFmtId="1" fontId="3" fillId="0" borderId="0" xfId="1" applyNumberFormat="1" applyFont="1"/>
    <xf numFmtId="1" fontId="0" fillId="0" borderId="0" xfId="0" applyNumberFormat="1"/>
    <xf numFmtId="0" fontId="0" fillId="0" borderId="1" xfId="0" applyBorder="1" applyAlignment="1">
      <alignment wrapText="1"/>
    </xf>
    <xf numFmtId="0" fontId="6" fillId="4" borderId="1" xfId="1" applyFont="1" applyFill="1" applyBorder="1" applyAlignment="1">
      <alignment horizontal="center" vertical="center"/>
    </xf>
    <xf numFmtId="1" fontId="3" fillId="4" borderId="0" xfId="1" applyNumberFormat="1" applyFont="1" applyFill="1"/>
    <xf numFmtId="0" fontId="7" fillId="4" borderId="2" xfId="3" applyFill="1" applyBorder="1" applyAlignment="1">
      <alignment horizontal="center"/>
    </xf>
    <xf numFmtId="0" fontId="7" fillId="4" borderId="1" xfId="3" applyFill="1" applyBorder="1"/>
    <xf numFmtId="1" fontId="6" fillId="4" borderId="1" xfId="4" applyNumberFormat="1" applyFont="1" applyFill="1" applyBorder="1" applyAlignment="1">
      <alignment horizontal="center" vertical="center"/>
    </xf>
    <xf numFmtId="43" fontId="6" fillId="4" borderId="1" xfId="2" applyFont="1" applyFill="1" applyBorder="1" applyAlignment="1">
      <alignment horizontal="center" vertical="center"/>
    </xf>
    <xf numFmtId="166" fontId="6" fillId="4" borderId="1" xfId="2" applyNumberFormat="1" applyFont="1" applyFill="1" applyBorder="1" applyAlignment="1">
      <alignment vertical="center"/>
    </xf>
    <xf numFmtId="166" fontId="6" fillId="4" borderId="1" xfId="2" applyNumberFormat="1" applyFont="1" applyFill="1" applyBorder="1" applyAlignment="1">
      <alignment horizontal="center" vertical="center"/>
    </xf>
    <xf numFmtId="1" fontId="7" fillId="4" borderId="1" xfId="3" applyNumberFormat="1" applyFill="1" applyBorder="1" applyAlignment="1">
      <alignment horizontal="right"/>
    </xf>
    <xf numFmtId="166" fontId="5" fillId="4" borderId="1" xfId="2" applyNumberFormat="1" applyFont="1" applyFill="1" applyBorder="1" applyAlignment="1">
      <alignment vertical="center"/>
    </xf>
    <xf numFmtId="0" fontId="6" fillId="4" borderId="1" xfId="3" applyFont="1" applyFill="1" applyBorder="1"/>
    <xf numFmtId="0" fontId="6" fillId="4" borderId="0" xfId="1" applyFont="1" applyFill="1" applyAlignment="1">
      <alignment vertical="center"/>
    </xf>
    <xf numFmtId="165" fontId="7" fillId="0" borderId="1" xfId="3" applyNumberFormat="1" applyBorder="1" applyAlignment="1">
      <alignment horizontal="center"/>
    </xf>
    <xf numFmtId="0" fontId="7" fillId="0" borderId="1" xfId="3" applyBorder="1" applyAlignment="1">
      <alignment horizontal="right"/>
    </xf>
    <xf numFmtId="0" fontId="7" fillId="2" borderId="1" xfId="3" applyFill="1" applyBorder="1" applyAlignment="1">
      <alignment horizontal="center"/>
    </xf>
    <xf numFmtId="0" fontId="0" fillId="0" borderId="1" xfId="0" applyBorder="1"/>
    <xf numFmtId="1" fontId="0" fillId="0" borderId="4" xfId="0" applyNumberFormat="1" applyBorder="1"/>
    <xf numFmtId="0" fontId="0" fillId="0" borderId="5" xfId="0" applyBorder="1" applyAlignment="1">
      <alignment wrapText="1"/>
    </xf>
    <xf numFmtId="1" fontId="9" fillId="0" borderId="0" xfId="0" applyNumberFormat="1" applyFont="1"/>
    <xf numFmtId="0" fontId="0" fillId="0" borderId="4" xfId="0" applyBorder="1"/>
    <xf numFmtId="0" fontId="0" fillId="5" borderId="1" xfId="0" applyFill="1" applyBorder="1"/>
    <xf numFmtId="0" fontId="0" fillId="5" borderId="4" xfId="0" applyFill="1" applyBorder="1"/>
    <xf numFmtId="1" fontId="0" fillId="5" borderId="1" xfId="0" applyNumberFormat="1" applyFill="1" applyBorder="1"/>
    <xf numFmtId="1" fontId="6" fillId="0" borderId="1" xfId="1" applyNumberFormat="1" applyFont="1" applyBorder="1" applyAlignment="1">
      <alignment horizontal="center" vertical="center"/>
    </xf>
    <xf numFmtId="0" fontId="7" fillId="0" borderId="1" xfId="3" applyBorder="1" applyAlignment="1">
      <alignment horizontal="center"/>
    </xf>
    <xf numFmtId="0" fontId="10" fillId="0" borderId="1" xfId="0" applyFont="1" applyBorder="1"/>
    <xf numFmtId="1" fontId="11" fillId="0" borderId="1" xfId="0" applyNumberFormat="1" applyFont="1" applyBorder="1"/>
    <xf numFmtId="0" fontId="11" fillId="0" borderId="1" xfId="0" applyFont="1" applyBorder="1"/>
    <xf numFmtId="0" fontId="6" fillId="0" borderId="0" xfId="1" applyFont="1" applyAlignment="1">
      <alignment horizontal="center" vertical="center"/>
    </xf>
    <xf numFmtId="165" fontId="5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horizontal="left" vertic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textRotation="90" wrapText="1"/>
    </xf>
    <xf numFmtId="165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vertical="center" wrapText="1"/>
    </xf>
    <xf numFmtId="1" fontId="3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 wrapText="1"/>
    </xf>
  </cellXfs>
  <cellStyles count="213">
    <cellStyle name="%" xfId="6" xr:uid="{00000000-0005-0000-0000-000000000000}"/>
    <cellStyle name="=C:\WINNT\SYSTEM32\COMMAND.COM" xfId="7" xr:uid="{00000000-0005-0000-0000-000001000000}"/>
    <cellStyle name="20% - Accent1 2" xfId="8" xr:uid="{00000000-0005-0000-0000-000002000000}"/>
    <cellStyle name="20% - Accent2 2" xfId="9" xr:uid="{00000000-0005-0000-0000-000003000000}"/>
    <cellStyle name="20% - Accent3 2" xfId="10" xr:uid="{00000000-0005-0000-0000-000004000000}"/>
    <cellStyle name="20% - Accent4 2" xfId="11" xr:uid="{00000000-0005-0000-0000-000005000000}"/>
    <cellStyle name="20% - Accent5 2" xfId="12" xr:uid="{00000000-0005-0000-0000-000006000000}"/>
    <cellStyle name="20% - Accent6 2" xfId="13" xr:uid="{00000000-0005-0000-0000-000007000000}"/>
    <cellStyle name="40% - Accent1 2" xfId="14" xr:uid="{00000000-0005-0000-0000-000008000000}"/>
    <cellStyle name="40% - Accent2 2" xfId="15" xr:uid="{00000000-0005-0000-0000-000009000000}"/>
    <cellStyle name="40% - Accent3 2" xfId="16" xr:uid="{00000000-0005-0000-0000-00000A000000}"/>
    <cellStyle name="40% - Accent4 2" xfId="17" xr:uid="{00000000-0005-0000-0000-00000B000000}"/>
    <cellStyle name="40% - Accent5 2" xfId="18" xr:uid="{00000000-0005-0000-0000-00000C000000}"/>
    <cellStyle name="40% - Accent6 2" xfId="19" xr:uid="{00000000-0005-0000-0000-00000D000000}"/>
    <cellStyle name="60% - Accent1 2" xfId="20" xr:uid="{00000000-0005-0000-0000-00000E000000}"/>
    <cellStyle name="60% - Accent2 2" xfId="21" xr:uid="{00000000-0005-0000-0000-00000F000000}"/>
    <cellStyle name="60% - Accent3 2" xfId="22" xr:uid="{00000000-0005-0000-0000-000010000000}"/>
    <cellStyle name="60% - Accent4 2" xfId="23" xr:uid="{00000000-0005-0000-0000-000011000000}"/>
    <cellStyle name="60% - Accent5 2" xfId="24" xr:uid="{00000000-0005-0000-0000-000012000000}"/>
    <cellStyle name="60% - Accent6 2" xfId="25" xr:uid="{00000000-0005-0000-0000-000013000000}"/>
    <cellStyle name="Accent" xfId="26" xr:uid="{00000000-0005-0000-0000-000014000000}"/>
    <cellStyle name="Accent 1" xfId="27" xr:uid="{00000000-0005-0000-0000-000015000000}"/>
    <cellStyle name="Accent 1 2" xfId="28" xr:uid="{00000000-0005-0000-0000-000016000000}"/>
    <cellStyle name="Accent 2" xfId="29" xr:uid="{00000000-0005-0000-0000-000017000000}"/>
    <cellStyle name="Accent 2 2" xfId="30" xr:uid="{00000000-0005-0000-0000-000018000000}"/>
    <cellStyle name="Accent 3" xfId="31" xr:uid="{00000000-0005-0000-0000-000019000000}"/>
    <cellStyle name="Accent 3 2" xfId="32" xr:uid="{00000000-0005-0000-0000-00001A000000}"/>
    <cellStyle name="Accent 4" xfId="33" xr:uid="{00000000-0005-0000-0000-00001B000000}"/>
    <cellStyle name="Accent1 2" xfId="34" xr:uid="{00000000-0005-0000-0000-00001C000000}"/>
    <cellStyle name="Accent2 2" xfId="35" xr:uid="{00000000-0005-0000-0000-00001D000000}"/>
    <cellStyle name="Accent3 2" xfId="36" xr:uid="{00000000-0005-0000-0000-00001E000000}"/>
    <cellStyle name="Accent4 2" xfId="37" xr:uid="{00000000-0005-0000-0000-00001F000000}"/>
    <cellStyle name="Accent5 2" xfId="38" xr:uid="{00000000-0005-0000-0000-000020000000}"/>
    <cellStyle name="Accent6 2" xfId="39" xr:uid="{00000000-0005-0000-0000-000021000000}"/>
    <cellStyle name="Bad 2" xfId="40" xr:uid="{00000000-0005-0000-0000-000022000000}"/>
    <cellStyle name="Bad 2 2" xfId="41" xr:uid="{00000000-0005-0000-0000-000023000000}"/>
    <cellStyle name="Bad 3" xfId="42" xr:uid="{00000000-0005-0000-0000-000024000000}"/>
    <cellStyle name="Calculation 2" xfId="43" xr:uid="{00000000-0005-0000-0000-000025000000}"/>
    <cellStyle name="Calculation 2 2" xfId="44" xr:uid="{00000000-0005-0000-0000-000026000000}"/>
    <cellStyle name="Check Cell 2" xfId="45" xr:uid="{00000000-0005-0000-0000-000027000000}"/>
    <cellStyle name="Comma 2" xfId="46" xr:uid="{00000000-0005-0000-0000-000028000000}"/>
    <cellStyle name="Comma 2 2" xfId="47" xr:uid="{00000000-0005-0000-0000-000029000000}"/>
    <cellStyle name="Comma 2 2 2" xfId="48" xr:uid="{00000000-0005-0000-0000-00002A000000}"/>
    <cellStyle name="Comma 2 2 2 2" xfId="49" xr:uid="{00000000-0005-0000-0000-00002B000000}"/>
    <cellStyle name="Comma 2 2 2 2 2" xfId="50" xr:uid="{00000000-0005-0000-0000-00002C000000}"/>
    <cellStyle name="Comma 2 2 2 2 2 2" xfId="4" xr:uid="{00000000-0005-0000-0000-00002D000000}"/>
    <cellStyle name="Comma 2 2 2 3" xfId="51" xr:uid="{00000000-0005-0000-0000-00002E000000}"/>
    <cellStyle name="Comma 2 2 2 3 2" xfId="52" xr:uid="{00000000-0005-0000-0000-00002F000000}"/>
    <cellStyle name="Comma 2 2 2 3 3" xfId="53" xr:uid="{00000000-0005-0000-0000-000030000000}"/>
    <cellStyle name="Comma 2 3" xfId="54" xr:uid="{00000000-0005-0000-0000-000031000000}"/>
    <cellStyle name="Comma 2 4" xfId="55" xr:uid="{00000000-0005-0000-0000-000032000000}"/>
    <cellStyle name="Comma 2 4 2" xfId="56" xr:uid="{00000000-0005-0000-0000-000033000000}"/>
    <cellStyle name="Comma 2 4 2 2" xfId="2" xr:uid="{00000000-0005-0000-0000-000034000000}"/>
    <cellStyle name="Comma 2 4 2 3" xfId="57" xr:uid="{00000000-0005-0000-0000-000035000000}"/>
    <cellStyle name="Comma 3" xfId="58" xr:uid="{00000000-0005-0000-0000-000036000000}"/>
    <cellStyle name="Comma 3 2" xfId="59" xr:uid="{00000000-0005-0000-0000-000037000000}"/>
    <cellStyle name="Comma 4" xfId="60" xr:uid="{00000000-0005-0000-0000-000038000000}"/>
    <cellStyle name="Comma 5" xfId="61" xr:uid="{00000000-0005-0000-0000-000039000000}"/>
    <cellStyle name="Comma 6" xfId="62" xr:uid="{00000000-0005-0000-0000-00003A000000}"/>
    <cellStyle name="Comma 7" xfId="63" xr:uid="{00000000-0005-0000-0000-00003B000000}"/>
    <cellStyle name="Comma 8" xfId="64" xr:uid="{00000000-0005-0000-0000-00003C000000}"/>
    <cellStyle name="Currency 2" xfId="65" xr:uid="{00000000-0005-0000-0000-00003D000000}"/>
    <cellStyle name="Error" xfId="66" xr:uid="{00000000-0005-0000-0000-00003E000000}"/>
    <cellStyle name="Error 2" xfId="67" xr:uid="{00000000-0005-0000-0000-00003F000000}"/>
    <cellStyle name="Excel Built-in Normal" xfId="68" xr:uid="{00000000-0005-0000-0000-000040000000}"/>
    <cellStyle name="Excel Built-in Normal 1" xfId="69" xr:uid="{00000000-0005-0000-0000-000041000000}"/>
    <cellStyle name="Excel Built-in Normal 2" xfId="70" xr:uid="{00000000-0005-0000-0000-000042000000}"/>
    <cellStyle name="Explanatory Text 2" xfId="71" xr:uid="{00000000-0005-0000-0000-000043000000}"/>
    <cellStyle name="Footnote" xfId="72" xr:uid="{00000000-0005-0000-0000-000044000000}"/>
    <cellStyle name="Footnote 2" xfId="73" xr:uid="{00000000-0005-0000-0000-000045000000}"/>
    <cellStyle name="Good 2" xfId="74" xr:uid="{00000000-0005-0000-0000-000046000000}"/>
    <cellStyle name="Good 2 2" xfId="75" xr:uid="{00000000-0005-0000-0000-000047000000}"/>
    <cellStyle name="Good 3" xfId="76" xr:uid="{00000000-0005-0000-0000-000048000000}"/>
    <cellStyle name="Heading" xfId="77" xr:uid="{00000000-0005-0000-0000-000049000000}"/>
    <cellStyle name="Heading 1 2" xfId="78" xr:uid="{00000000-0005-0000-0000-00004A000000}"/>
    <cellStyle name="Heading 1 2 2" xfId="79" xr:uid="{00000000-0005-0000-0000-00004B000000}"/>
    <cellStyle name="Heading 1 3" xfId="80" xr:uid="{00000000-0005-0000-0000-00004C000000}"/>
    <cellStyle name="Heading 2 2" xfId="81" xr:uid="{00000000-0005-0000-0000-00004D000000}"/>
    <cellStyle name="Heading 2 2 2" xfId="82" xr:uid="{00000000-0005-0000-0000-00004E000000}"/>
    <cellStyle name="Heading 2 3" xfId="83" xr:uid="{00000000-0005-0000-0000-00004F000000}"/>
    <cellStyle name="Heading 3 2" xfId="84" xr:uid="{00000000-0005-0000-0000-000050000000}"/>
    <cellStyle name="Heading 4 2" xfId="85" xr:uid="{00000000-0005-0000-0000-000051000000}"/>
    <cellStyle name="Heading 5" xfId="86" xr:uid="{00000000-0005-0000-0000-000052000000}"/>
    <cellStyle name="Heading 5 2" xfId="87" xr:uid="{00000000-0005-0000-0000-000053000000}"/>
    <cellStyle name="Heading 6" xfId="88" xr:uid="{00000000-0005-0000-0000-000054000000}"/>
    <cellStyle name="Heading 7" xfId="89" xr:uid="{00000000-0005-0000-0000-000055000000}"/>
    <cellStyle name="Heading1" xfId="90" xr:uid="{00000000-0005-0000-0000-000056000000}"/>
    <cellStyle name="Heading1 2" xfId="91" xr:uid="{00000000-0005-0000-0000-000057000000}"/>
    <cellStyle name="Heading1 2 2" xfId="92" xr:uid="{00000000-0005-0000-0000-000058000000}"/>
    <cellStyle name="Hyperlink 2" xfId="93" xr:uid="{00000000-0005-0000-0000-000059000000}"/>
    <cellStyle name="Input 2" xfId="94" xr:uid="{00000000-0005-0000-0000-00005A000000}"/>
    <cellStyle name="Input 2 2" xfId="95" xr:uid="{00000000-0005-0000-0000-00005B000000}"/>
    <cellStyle name="Linked Cell 2" xfId="96" xr:uid="{00000000-0005-0000-0000-00005C000000}"/>
    <cellStyle name="Neutral 2" xfId="97" xr:uid="{00000000-0005-0000-0000-00005D000000}"/>
    <cellStyle name="Neutral 2 2" xfId="98" xr:uid="{00000000-0005-0000-0000-00005E000000}"/>
    <cellStyle name="Neutral 3" xfId="99" xr:uid="{00000000-0005-0000-0000-00005F000000}"/>
    <cellStyle name="Normal" xfId="0" builtinId="0"/>
    <cellStyle name="Normal 10" xfId="100" xr:uid="{00000000-0005-0000-0000-000061000000}"/>
    <cellStyle name="Normal 10 2" xfId="101" xr:uid="{00000000-0005-0000-0000-000062000000}"/>
    <cellStyle name="Normal 10 3" xfId="102" xr:uid="{00000000-0005-0000-0000-000063000000}"/>
    <cellStyle name="Normal 10 4" xfId="103" xr:uid="{00000000-0005-0000-0000-000064000000}"/>
    <cellStyle name="Normal 11" xfId="104" xr:uid="{00000000-0005-0000-0000-000065000000}"/>
    <cellStyle name="Normal 12" xfId="105" xr:uid="{00000000-0005-0000-0000-000066000000}"/>
    <cellStyle name="Normal 13" xfId="106" xr:uid="{00000000-0005-0000-0000-000067000000}"/>
    <cellStyle name="Normal 13 2" xfId="107" xr:uid="{00000000-0005-0000-0000-000068000000}"/>
    <cellStyle name="Normal 13 3" xfId="108" xr:uid="{00000000-0005-0000-0000-000069000000}"/>
    <cellStyle name="Normal 14" xfId="109" xr:uid="{00000000-0005-0000-0000-00006A000000}"/>
    <cellStyle name="Normal 14 2" xfId="110" xr:uid="{00000000-0005-0000-0000-00006B000000}"/>
    <cellStyle name="Normal 14 2 2" xfId="1" xr:uid="{00000000-0005-0000-0000-00006C000000}"/>
    <cellStyle name="Normal 14 2 2 6" xfId="111" xr:uid="{00000000-0005-0000-0000-00006D000000}"/>
    <cellStyle name="Normal 14 2 3" xfId="112" xr:uid="{00000000-0005-0000-0000-00006E000000}"/>
    <cellStyle name="Normal 14 2 4" xfId="113" xr:uid="{00000000-0005-0000-0000-00006F000000}"/>
    <cellStyle name="Normal 15" xfId="114" xr:uid="{00000000-0005-0000-0000-000070000000}"/>
    <cellStyle name="Normal 16" xfId="115" xr:uid="{00000000-0005-0000-0000-000071000000}"/>
    <cellStyle name="Normal 16 2" xfId="116" xr:uid="{00000000-0005-0000-0000-000072000000}"/>
    <cellStyle name="Normal 17" xfId="117" xr:uid="{00000000-0005-0000-0000-000073000000}"/>
    <cellStyle name="Normal 17 2" xfId="118" xr:uid="{00000000-0005-0000-0000-000074000000}"/>
    <cellStyle name="Normal 17 2 2" xfId="119" xr:uid="{00000000-0005-0000-0000-000075000000}"/>
    <cellStyle name="Normal 17 2 3" xfId="120" xr:uid="{00000000-0005-0000-0000-000076000000}"/>
    <cellStyle name="Normal 17 3" xfId="121" xr:uid="{00000000-0005-0000-0000-000077000000}"/>
    <cellStyle name="Normal 17 3 2" xfId="122" xr:uid="{00000000-0005-0000-0000-000078000000}"/>
    <cellStyle name="Normal 17 3 2 2" xfId="123" xr:uid="{00000000-0005-0000-0000-000079000000}"/>
    <cellStyle name="Normal 17 3 2 3" xfId="124" xr:uid="{00000000-0005-0000-0000-00007A000000}"/>
    <cellStyle name="Normal 17 3 3" xfId="125" xr:uid="{00000000-0005-0000-0000-00007B000000}"/>
    <cellStyle name="Normal 17 3 4" xfId="126" xr:uid="{00000000-0005-0000-0000-00007C000000}"/>
    <cellStyle name="Normal 17 3 5" xfId="127" xr:uid="{00000000-0005-0000-0000-00007D000000}"/>
    <cellStyle name="Normal 18" xfId="128" xr:uid="{00000000-0005-0000-0000-00007E000000}"/>
    <cellStyle name="Normal 18 2" xfId="129" xr:uid="{00000000-0005-0000-0000-00007F000000}"/>
    <cellStyle name="Normal 19" xfId="130" xr:uid="{00000000-0005-0000-0000-000080000000}"/>
    <cellStyle name="Normal 2" xfId="3" xr:uid="{00000000-0005-0000-0000-000081000000}"/>
    <cellStyle name="Normal 2 10" xfId="131" xr:uid="{00000000-0005-0000-0000-000082000000}"/>
    <cellStyle name="Normal 2 10 2" xfId="132" xr:uid="{00000000-0005-0000-0000-000083000000}"/>
    <cellStyle name="Normal 2 2" xfId="133" xr:uid="{00000000-0005-0000-0000-000084000000}"/>
    <cellStyle name="Normal 2 2 2" xfId="134" xr:uid="{00000000-0005-0000-0000-000085000000}"/>
    <cellStyle name="Normal 2 2 2 2" xfId="135" xr:uid="{00000000-0005-0000-0000-000086000000}"/>
    <cellStyle name="Normal 2 2 2 2 2" xfId="136" xr:uid="{00000000-0005-0000-0000-000087000000}"/>
    <cellStyle name="Normal 2 2 2 3" xfId="137" xr:uid="{00000000-0005-0000-0000-000088000000}"/>
    <cellStyle name="Normal 2 2 3" xfId="138" xr:uid="{00000000-0005-0000-0000-000089000000}"/>
    <cellStyle name="Normal 2 2 4" xfId="139" xr:uid="{00000000-0005-0000-0000-00008A000000}"/>
    <cellStyle name="Normal 2 2 5" xfId="140" xr:uid="{00000000-0005-0000-0000-00008B000000}"/>
    <cellStyle name="Normal 2 2 5 2" xfId="141" xr:uid="{00000000-0005-0000-0000-00008C000000}"/>
    <cellStyle name="Normal 2 2 6" xfId="142" xr:uid="{00000000-0005-0000-0000-00008D000000}"/>
    <cellStyle name="Normal 2 3" xfId="143" xr:uid="{00000000-0005-0000-0000-00008E000000}"/>
    <cellStyle name="Normal 2 3 2" xfId="144" xr:uid="{00000000-0005-0000-0000-00008F000000}"/>
    <cellStyle name="Normal 2 3 3" xfId="145" xr:uid="{00000000-0005-0000-0000-000090000000}"/>
    <cellStyle name="Normal 2 4" xfId="146" xr:uid="{00000000-0005-0000-0000-000091000000}"/>
    <cellStyle name="Normal 2 5" xfId="147" xr:uid="{00000000-0005-0000-0000-000092000000}"/>
    <cellStyle name="Normal 2 6" xfId="148" xr:uid="{00000000-0005-0000-0000-000093000000}"/>
    <cellStyle name="Normal 20" xfId="149" xr:uid="{00000000-0005-0000-0000-000094000000}"/>
    <cellStyle name="Normal 21" xfId="150" xr:uid="{00000000-0005-0000-0000-000095000000}"/>
    <cellStyle name="Normal 22" xfId="151" xr:uid="{00000000-0005-0000-0000-000096000000}"/>
    <cellStyle name="Normal 23" xfId="152" xr:uid="{00000000-0005-0000-0000-000097000000}"/>
    <cellStyle name="Normal 23 2" xfId="153" xr:uid="{00000000-0005-0000-0000-000098000000}"/>
    <cellStyle name="Normal 24" xfId="154" xr:uid="{00000000-0005-0000-0000-000099000000}"/>
    <cellStyle name="Normal 25" xfId="5" xr:uid="{00000000-0005-0000-0000-00009A000000}"/>
    <cellStyle name="Normal 26" xfId="155" xr:uid="{00000000-0005-0000-0000-00009B000000}"/>
    <cellStyle name="Normal 26 2" xfId="156" xr:uid="{00000000-0005-0000-0000-00009C000000}"/>
    <cellStyle name="Normal 26 3" xfId="157" xr:uid="{00000000-0005-0000-0000-00009D000000}"/>
    <cellStyle name="Normal 27" xfId="158" xr:uid="{00000000-0005-0000-0000-00009E000000}"/>
    <cellStyle name="Normal 3" xfId="159" xr:uid="{00000000-0005-0000-0000-00009F000000}"/>
    <cellStyle name="Normal 3 2" xfId="160" xr:uid="{00000000-0005-0000-0000-0000A0000000}"/>
    <cellStyle name="Normal 3 2 10" xfId="161" xr:uid="{00000000-0005-0000-0000-0000A1000000}"/>
    <cellStyle name="Normal 3 2 2" xfId="162" xr:uid="{00000000-0005-0000-0000-0000A2000000}"/>
    <cellStyle name="Normal 3 2 3" xfId="163" xr:uid="{00000000-0005-0000-0000-0000A3000000}"/>
    <cellStyle name="Normal 3 2 4" xfId="164" xr:uid="{00000000-0005-0000-0000-0000A4000000}"/>
    <cellStyle name="Normal 3 2 5" xfId="165" xr:uid="{00000000-0005-0000-0000-0000A5000000}"/>
    <cellStyle name="Normal 3 2 6" xfId="166" xr:uid="{00000000-0005-0000-0000-0000A6000000}"/>
    <cellStyle name="Normal 3 2 7" xfId="167" xr:uid="{00000000-0005-0000-0000-0000A7000000}"/>
    <cellStyle name="Normal 3 2 8" xfId="168" xr:uid="{00000000-0005-0000-0000-0000A8000000}"/>
    <cellStyle name="Normal 3 2 9" xfId="169" xr:uid="{00000000-0005-0000-0000-0000A9000000}"/>
    <cellStyle name="Normal 3 3" xfId="170" xr:uid="{00000000-0005-0000-0000-0000AA000000}"/>
    <cellStyle name="Normal 3 4" xfId="171" xr:uid="{00000000-0005-0000-0000-0000AB000000}"/>
    <cellStyle name="Normal 4" xfId="172" xr:uid="{00000000-0005-0000-0000-0000AC000000}"/>
    <cellStyle name="Normal 4 2" xfId="173" xr:uid="{00000000-0005-0000-0000-0000AD000000}"/>
    <cellStyle name="Normal 4 2 2" xfId="174" xr:uid="{00000000-0005-0000-0000-0000AE000000}"/>
    <cellStyle name="Normal 4 2 2 2" xfId="175" xr:uid="{00000000-0005-0000-0000-0000AF000000}"/>
    <cellStyle name="Normal 4 3" xfId="176" xr:uid="{00000000-0005-0000-0000-0000B0000000}"/>
    <cellStyle name="Normal 5" xfId="177" xr:uid="{00000000-0005-0000-0000-0000B1000000}"/>
    <cellStyle name="Normal 5 2" xfId="178" xr:uid="{00000000-0005-0000-0000-0000B2000000}"/>
    <cellStyle name="Normal 5 3" xfId="179" xr:uid="{00000000-0005-0000-0000-0000B3000000}"/>
    <cellStyle name="Normal 6" xfId="180" xr:uid="{00000000-0005-0000-0000-0000B4000000}"/>
    <cellStyle name="Normal 7" xfId="181" xr:uid="{00000000-0005-0000-0000-0000B5000000}"/>
    <cellStyle name="Normal 7 2" xfId="182" xr:uid="{00000000-0005-0000-0000-0000B6000000}"/>
    <cellStyle name="Normal 7 2 2" xfId="183" xr:uid="{00000000-0005-0000-0000-0000B7000000}"/>
    <cellStyle name="Normal 8" xfId="184" xr:uid="{00000000-0005-0000-0000-0000B8000000}"/>
    <cellStyle name="Normal 9" xfId="185" xr:uid="{00000000-0005-0000-0000-0000B9000000}"/>
    <cellStyle name="Normal 9 2" xfId="186" xr:uid="{00000000-0005-0000-0000-0000BA000000}"/>
    <cellStyle name="Normal 9 2 2" xfId="187" xr:uid="{00000000-0005-0000-0000-0000BB000000}"/>
    <cellStyle name="Note 2" xfId="188" xr:uid="{00000000-0005-0000-0000-0000BC000000}"/>
    <cellStyle name="Note 2 2" xfId="189" xr:uid="{00000000-0005-0000-0000-0000BD000000}"/>
    <cellStyle name="Note 2 3" xfId="190" xr:uid="{00000000-0005-0000-0000-0000BE000000}"/>
    <cellStyle name="Note 3" xfId="191" xr:uid="{00000000-0005-0000-0000-0000BF000000}"/>
    <cellStyle name="Output 2" xfId="192" xr:uid="{00000000-0005-0000-0000-0000C0000000}"/>
    <cellStyle name="Output 2 2" xfId="193" xr:uid="{00000000-0005-0000-0000-0000C1000000}"/>
    <cellStyle name="Result" xfId="194" xr:uid="{00000000-0005-0000-0000-0000C2000000}"/>
    <cellStyle name="Result 2" xfId="195" xr:uid="{00000000-0005-0000-0000-0000C3000000}"/>
    <cellStyle name="Result 2 2" xfId="196" xr:uid="{00000000-0005-0000-0000-0000C4000000}"/>
    <cellStyle name="Result2" xfId="197" xr:uid="{00000000-0005-0000-0000-0000C5000000}"/>
    <cellStyle name="Result2 2" xfId="198" xr:uid="{00000000-0005-0000-0000-0000C6000000}"/>
    <cellStyle name="Result2 2 2" xfId="199" xr:uid="{00000000-0005-0000-0000-0000C7000000}"/>
    <cellStyle name="Status" xfId="200" xr:uid="{00000000-0005-0000-0000-0000C8000000}"/>
    <cellStyle name="Status 2" xfId="201" xr:uid="{00000000-0005-0000-0000-0000C9000000}"/>
    <cellStyle name="Style 1" xfId="202" xr:uid="{00000000-0005-0000-0000-0000CA000000}"/>
    <cellStyle name="Text" xfId="203" xr:uid="{00000000-0005-0000-0000-0000CB000000}"/>
    <cellStyle name="Text 2" xfId="204" xr:uid="{00000000-0005-0000-0000-0000CC000000}"/>
    <cellStyle name="Title 2" xfId="205" xr:uid="{00000000-0005-0000-0000-0000CD000000}"/>
    <cellStyle name="Total 2" xfId="206" xr:uid="{00000000-0005-0000-0000-0000CE000000}"/>
    <cellStyle name="Total 2 2" xfId="207" xr:uid="{00000000-0005-0000-0000-0000CF000000}"/>
    <cellStyle name="Warning" xfId="208" xr:uid="{00000000-0005-0000-0000-0000D0000000}"/>
    <cellStyle name="Warning 2" xfId="209" xr:uid="{00000000-0005-0000-0000-0000D1000000}"/>
    <cellStyle name="Warning Text 2" xfId="210" xr:uid="{00000000-0005-0000-0000-0000D2000000}"/>
    <cellStyle name="Yellow" xfId="211" xr:uid="{00000000-0005-0000-0000-0000D3000000}"/>
    <cellStyle name="Yellow 2" xfId="212" xr:uid="{00000000-0005-0000-0000-0000D4000000}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22"/>
  <sheetViews>
    <sheetView tabSelected="1" zoomScale="130" zoomScaleNormal="130" workbookViewId="0">
      <pane xSplit="4" ySplit="11" topLeftCell="R13" activePane="bottomRight" state="frozen"/>
      <selection pane="topRight" activeCell="E1" sqref="E1"/>
      <selection pane="bottomLeft" activeCell="A12" sqref="A12"/>
      <selection pane="bottomRight" activeCell="D24" sqref="D24"/>
    </sheetView>
  </sheetViews>
  <sheetFormatPr defaultColWidth="10.6640625" defaultRowHeight="13.8"/>
  <cols>
    <col min="1" max="1" width="7.109375" style="41" customWidth="1"/>
    <col min="2" max="2" width="15.6640625" style="2" bestFit="1" customWidth="1"/>
    <col min="3" max="3" width="20.77734375" style="41" bestFit="1" customWidth="1"/>
    <col min="4" max="4" width="36" style="41" customWidth="1"/>
    <col min="5" max="5" width="10.109375" style="78" bestFit="1" customWidth="1"/>
    <col min="6" max="6" width="9.109375" style="78" bestFit="1" customWidth="1"/>
    <col min="7" max="7" width="8" style="78" customWidth="1"/>
    <col min="8" max="8" width="10.6640625" style="78" customWidth="1"/>
    <col min="9" max="9" width="9.77734375" style="41" customWidth="1"/>
    <col min="10" max="10" width="10" style="41" customWidth="1"/>
    <col min="11" max="11" width="12.44140625" style="79" customWidth="1"/>
    <col min="12" max="12" width="9.6640625" style="80" customWidth="1"/>
    <col min="13" max="13" width="7" style="81" customWidth="1"/>
    <col min="14" max="14" width="10.33203125" style="80" customWidth="1"/>
    <col min="15" max="15" width="9.6640625" style="80" customWidth="1"/>
    <col min="16" max="16" width="12.109375" style="78" customWidth="1"/>
    <col min="17" max="23" width="9.6640625" style="78" customWidth="1"/>
    <col min="24" max="24" width="9.6640625" style="82" customWidth="1"/>
    <col min="25" max="25" width="9.6640625" style="83" customWidth="1"/>
    <col min="26" max="26" width="7" style="84" customWidth="1"/>
    <col min="27" max="27" width="16" style="83" bestFit="1" customWidth="1"/>
    <col min="28" max="16384" width="10.6640625" style="41"/>
  </cols>
  <sheetData>
    <row r="1" spans="1:27" s="1" customFormat="1">
      <c r="B1" s="2"/>
      <c r="K1" s="3"/>
      <c r="P1" s="4"/>
      <c r="Q1" s="4"/>
      <c r="R1" s="4"/>
      <c r="S1" s="4"/>
      <c r="T1" s="4"/>
      <c r="U1" s="4"/>
      <c r="V1" s="4"/>
      <c r="W1" s="4"/>
      <c r="X1" s="5"/>
      <c r="Y1" s="6"/>
      <c r="Z1" s="7"/>
      <c r="AA1" s="6"/>
    </row>
    <row r="2" spans="1:27" s="1" customFormat="1">
      <c r="A2" s="1" t="s">
        <v>0</v>
      </c>
      <c r="B2" s="2"/>
      <c r="K2" s="3"/>
      <c r="P2" s="4"/>
      <c r="Q2" s="4"/>
      <c r="R2" s="4"/>
      <c r="S2" s="4"/>
      <c r="T2" s="4"/>
      <c r="U2" s="4"/>
      <c r="V2" s="4"/>
      <c r="W2" s="4"/>
      <c r="X2" s="5"/>
      <c r="Y2" s="6"/>
      <c r="Z2" s="7"/>
      <c r="AA2" s="6"/>
    </row>
    <row r="3" spans="1:27" s="1" customFormat="1" ht="32.4">
      <c r="A3" s="8"/>
      <c r="B3" s="9"/>
      <c r="C3" s="10"/>
      <c r="D3" s="4">
        <f>16+11</f>
        <v>27</v>
      </c>
      <c r="E3" s="8"/>
      <c r="F3" s="8"/>
      <c r="G3" s="8"/>
      <c r="H3" s="8"/>
      <c r="I3" s="8"/>
      <c r="J3" s="8"/>
      <c r="K3" s="11"/>
      <c r="L3" s="12">
        <f>14010+1736</f>
        <v>15746</v>
      </c>
      <c r="M3" s="13">
        <f>+L3*5%</f>
        <v>787.30000000000007</v>
      </c>
      <c r="N3" s="13">
        <v>0</v>
      </c>
      <c r="O3" s="13">
        <f>SUM(L3:N3)</f>
        <v>16533.3</v>
      </c>
      <c r="P3" s="14"/>
      <c r="Q3" s="15">
        <f>14010+775</f>
        <v>14785</v>
      </c>
      <c r="R3" s="14"/>
      <c r="S3" s="14"/>
      <c r="T3" s="14"/>
      <c r="U3" s="14"/>
      <c r="V3" s="14"/>
      <c r="W3" s="14"/>
      <c r="X3" s="16"/>
      <c r="Y3" s="17"/>
      <c r="Z3" s="7"/>
      <c r="AA3" s="17"/>
    </row>
    <row r="4" spans="1:27" s="1" customFormat="1">
      <c r="A4" s="8"/>
      <c r="B4" s="9"/>
      <c r="C4" s="10"/>
      <c r="F4" s="8"/>
      <c r="G4" s="8"/>
      <c r="H4" s="8"/>
      <c r="I4" s="8"/>
      <c r="J4" s="8"/>
      <c r="K4" s="11"/>
      <c r="L4" s="18">
        <f>+L3/26</f>
        <v>605.61538461538464</v>
      </c>
      <c r="M4" s="19">
        <f>+M3/26</f>
        <v>30.280769230769234</v>
      </c>
      <c r="N4" s="13"/>
      <c r="O4" s="19">
        <f>+O3/26</f>
        <v>635.89615384615377</v>
      </c>
      <c r="P4" s="14"/>
      <c r="Q4" s="18">
        <f>+Q3/26</f>
        <v>568.65384615384619</v>
      </c>
      <c r="R4" s="14"/>
      <c r="S4" s="14"/>
      <c r="T4" s="14"/>
      <c r="U4" s="14"/>
      <c r="V4" s="14"/>
      <c r="W4" s="14"/>
      <c r="X4" s="16"/>
      <c r="Y4" s="17"/>
      <c r="Z4" s="7"/>
      <c r="AA4" s="17"/>
    </row>
    <row r="5" spans="1:27" s="1" customFormat="1">
      <c r="A5" s="20" t="s">
        <v>1</v>
      </c>
      <c r="B5" s="21"/>
      <c r="C5" s="20"/>
      <c r="D5" s="20"/>
      <c r="E5" s="20" t="s">
        <v>0</v>
      </c>
      <c r="F5" s="20"/>
      <c r="G5" s="20"/>
      <c r="H5" s="20"/>
      <c r="I5" s="20"/>
      <c r="J5" s="20"/>
      <c r="K5" s="20"/>
      <c r="L5" s="12">
        <f>14010+1736</f>
        <v>15746</v>
      </c>
      <c r="M5" s="13">
        <f>+L5*5%</f>
        <v>787.30000000000007</v>
      </c>
      <c r="N5" s="13">
        <v>0</v>
      </c>
      <c r="O5" s="13">
        <f>SUM(L5:N5)</f>
        <v>16533.3</v>
      </c>
      <c r="P5" s="22">
        <f>P6-O53</f>
        <v>-2.5961538461560849</v>
      </c>
      <c r="Q5" s="20"/>
      <c r="R5" s="20"/>
      <c r="S5" s="20"/>
      <c r="T5" s="20"/>
      <c r="U5" s="20"/>
      <c r="V5" s="20"/>
      <c r="W5" s="20"/>
      <c r="X5" s="20"/>
      <c r="Y5" s="20"/>
      <c r="Z5" s="7"/>
    </row>
    <row r="6" spans="1:27" s="1" customFormat="1">
      <c r="A6" s="23"/>
      <c r="B6" s="24"/>
      <c r="C6" s="25"/>
      <c r="D6" s="26"/>
      <c r="E6" s="23"/>
      <c r="F6" s="23"/>
      <c r="G6" s="23"/>
      <c r="H6" s="23"/>
      <c r="I6" s="23"/>
      <c r="J6" s="23"/>
      <c r="K6" s="27">
        <f>L6*H53</f>
        <v>15140.384615384615</v>
      </c>
      <c r="L6" s="18">
        <f>+L5/26</f>
        <v>605.61538461538464</v>
      </c>
      <c r="M6" s="19">
        <f>+M5/26</f>
        <v>30.280769230769234</v>
      </c>
      <c r="N6" s="13"/>
      <c r="O6" s="19">
        <f>+O5/26</f>
        <v>635.89615384615377</v>
      </c>
      <c r="P6" s="27">
        <f>O6*H53</f>
        <v>15897.403846153844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s="10" customFormat="1">
      <c r="A7" s="88" t="s">
        <v>2</v>
      </c>
      <c r="B7" s="91" t="s">
        <v>3</v>
      </c>
      <c r="C7" s="92" t="s">
        <v>4</v>
      </c>
      <c r="D7" s="88" t="s">
        <v>5</v>
      </c>
      <c r="E7" s="88" t="s">
        <v>6</v>
      </c>
      <c r="F7" s="88" t="s">
        <v>7</v>
      </c>
      <c r="G7" s="88" t="s">
        <v>8</v>
      </c>
      <c r="H7" s="88" t="s">
        <v>9</v>
      </c>
      <c r="I7" s="88" t="s">
        <v>10</v>
      </c>
      <c r="J7" s="88" t="s">
        <v>11</v>
      </c>
      <c r="K7" s="89" t="s">
        <v>12</v>
      </c>
      <c r="L7" s="90" t="s">
        <v>13</v>
      </c>
      <c r="M7" s="87" t="s">
        <v>14</v>
      </c>
      <c r="N7" s="87" t="s">
        <v>15</v>
      </c>
      <c r="O7" s="87" t="s">
        <v>16</v>
      </c>
      <c r="P7" s="88" t="s">
        <v>17</v>
      </c>
      <c r="Q7" s="88"/>
      <c r="R7" s="88"/>
      <c r="S7" s="88"/>
      <c r="T7" s="88"/>
      <c r="U7" s="88"/>
      <c r="V7" s="88"/>
      <c r="W7" s="88"/>
      <c r="X7" s="88"/>
      <c r="Y7" s="85" t="s">
        <v>18</v>
      </c>
      <c r="Z7" s="88" t="s">
        <v>19</v>
      </c>
      <c r="AA7" s="85" t="s">
        <v>20</v>
      </c>
    </row>
    <row r="8" spans="1:27" s="10" customFormat="1">
      <c r="A8" s="88"/>
      <c r="B8" s="91"/>
      <c r="C8" s="92"/>
      <c r="D8" s="88"/>
      <c r="E8" s="88"/>
      <c r="F8" s="88"/>
      <c r="G8" s="88"/>
      <c r="H8" s="88"/>
      <c r="I8" s="88"/>
      <c r="J8" s="88"/>
      <c r="K8" s="89"/>
      <c r="L8" s="90"/>
      <c r="M8" s="87"/>
      <c r="N8" s="87"/>
      <c r="O8" s="87"/>
      <c r="P8" s="86" t="s">
        <v>21</v>
      </c>
      <c r="Q8" s="86" t="s">
        <v>22</v>
      </c>
      <c r="R8" s="86" t="s">
        <v>23</v>
      </c>
      <c r="S8" s="86" t="s">
        <v>24</v>
      </c>
      <c r="T8" s="86" t="s">
        <v>25</v>
      </c>
      <c r="U8" s="86" t="s">
        <v>26</v>
      </c>
      <c r="V8" s="86" t="s">
        <v>27</v>
      </c>
      <c r="W8" s="86" t="s">
        <v>28</v>
      </c>
      <c r="X8" s="86" t="s">
        <v>29</v>
      </c>
      <c r="Y8" s="85"/>
      <c r="Z8" s="88"/>
      <c r="AA8" s="85"/>
    </row>
    <row r="9" spans="1:27" s="10" customFormat="1">
      <c r="A9" s="88"/>
      <c r="B9" s="91"/>
      <c r="C9" s="92"/>
      <c r="D9" s="88"/>
      <c r="E9" s="88"/>
      <c r="F9" s="88"/>
      <c r="G9" s="88"/>
      <c r="H9" s="88"/>
      <c r="I9" s="88"/>
      <c r="J9" s="88"/>
      <c r="K9" s="89"/>
      <c r="L9" s="90"/>
      <c r="M9" s="87"/>
      <c r="N9" s="87"/>
      <c r="O9" s="87"/>
      <c r="P9" s="86"/>
      <c r="Q9" s="86"/>
      <c r="R9" s="86"/>
      <c r="S9" s="86"/>
      <c r="T9" s="86"/>
      <c r="U9" s="86"/>
      <c r="V9" s="86"/>
      <c r="W9" s="86"/>
      <c r="X9" s="86"/>
      <c r="Y9" s="85"/>
      <c r="Z9" s="88"/>
      <c r="AA9" s="85"/>
    </row>
    <row r="10" spans="1:27" s="10" customFormat="1">
      <c r="A10" s="88"/>
      <c r="B10" s="91"/>
      <c r="C10" s="92"/>
      <c r="D10" s="88"/>
      <c r="E10" s="88"/>
      <c r="F10" s="88"/>
      <c r="G10" s="88"/>
      <c r="H10" s="88"/>
      <c r="I10" s="88"/>
      <c r="J10" s="88"/>
      <c r="K10" s="89"/>
      <c r="L10" s="90"/>
      <c r="M10" s="87"/>
      <c r="N10" s="87"/>
      <c r="O10" s="87"/>
      <c r="P10" s="86"/>
      <c r="Q10" s="86"/>
      <c r="R10" s="86"/>
      <c r="S10" s="86"/>
      <c r="T10" s="86"/>
      <c r="U10" s="86"/>
      <c r="V10" s="86"/>
      <c r="W10" s="86"/>
      <c r="X10" s="86"/>
      <c r="Y10" s="85"/>
      <c r="Z10" s="88"/>
      <c r="AA10" s="85"/>
    </row>
    <row r="11" spans="1:27" s="10" customFormat="1">
      <c r="A11" s="88"/>
      <c r="B11" s="91"/>
      <c r="C11" s="92"/>
      <c r="D11" s="88"/>
      <c r="E11" s="88"/>
      <c r="F11" s="88"/>
      <c r="G11" s="88"/>
      <c r="H11" s="88"/>
      <c r="I11" s="88"/>
      <c r="J11" s="88"/>
      <c r="K11" s="89"/>
      <c r="L11" s="90"/>
      <c r="M11" s="87"/>
      <c r="N11" s="87"/>
      <c r="O11" s="87"/>
      <c r="P11" s="86"/>
      <c r="Q11" s="86"/>
      <c r="R11" s="86"/>
      <c r="S11" s="86"/>
      <c r="T11" s="86"/>
      <c r="U11" s="86"/>
      <c r="V11" s="86"/>
      <c r="W11" s="86"/>
      <c r="X11" s="86"/>
      <c r="Y11" s="85"/>
      <c r="Z11" s="88"/>
      <c r="AA11" s="85"/>
    </row>
    <row r="12" spans="1:27">
      <c r="A12" s="28">
        <v>1</v>
      </c>
      <c r="B12" s="29">
        <v>101447270865</v>
      </c>
      <c r="C12" s="30">
        <v>3314278646</v>
      </c>
      <c r="D12" s="31" t="s">
        <v>30</v>
      </c>
      <c r="E12" s="32">
        <v>636</v>
      </c>
      <c r="F12" s="33">
        <v>18</v>
      </c>
      <c r="G12" s="34">
        <v>7</v>
      </c>
      <c r="H12" s="35">
        <f t="shared" ref="H12:H75" si="0">+F12+G12</f>
        <v>25</v>
      </c>
      <c r="I12" s="36">
        <f>ROUND(F12*E12,0)</f>
        <v>11448</v>
      </c>
      <c r="J12" s="36">
        <f>ROUND(E12*G12,0)</f>
        <v>4452</v>
      </c>
      <c r="K12" s="36">
        <f>I12+J12</f>
        <v>15900</v>
      </c>
      <c r="L12" s="36">
        <f>ROUND($L$4*F12,0)</f>
        <v>10901</v>
      </c>
      <c r="M12" s="37">
        <f>ROUND($L12*5%,0)</f>
        <v>545</v>
      </c>
      <c r="N12" s="36">
        <f>K12-L12-M12</f>
        <v>4454</v>
      </c>
      <c r="O12" s="36">
        <f>N12+M12+L12</f>
        <v>15900</v>
      </c>
      <c r="P12" s="37">
        <f t="shared" ref="P12:P75" si="1">ROUND(L12*12%,0)</f>
        <v>1308</v>
      </c>
      <c r="Q12" s="37">
        <f>IF(O12&lt;=7500,0,IF(O12&lt;=10000,175,200))</f>
        <v>200</v>
      </c>
      <c r="R12" s="37">
        <f>ROUND(O12*0.75%,0)</f>
        <v>119</v>
      </c>
      <c r="S12" s="37"/>
      <c r="T12" s="31"/>
      <c r="U12" s="38"/>
      <c r="V12" s="38"/>
      <c r="W12" s="31"/>
      <c r="X12" s="37">
        <f t="shared" ref="X12:X75" si="2">SUM(P12:W12)</f>
        <v>1627</v>
      </c>
      <c r="Y12" s="39">
        <f t="shared" ref="Y12:Y75" si="3">O12-X12</f>
        <v>14273</v>
      </c>
      <c r="Z12" s="40">
        <v>500</v>
      </c>
      <c r="AA12" s="39">
        <f>Y12-Z12</f>
        <v>13773</v>
      </c>
    </row>
    <row r="13" spans="1:27">
      <c r="A13" s="28">
        <v>2</v>
      </c>
      <c r="B13" s="29">
        <v>101747190938</v>
      </c>
      <c r="C13" s="30">
        <v>3313290894</v>
      </c>
      <c r="D13" s="31" t="s">
        <v>31</v>
      </c>
      <c r="E13" s="32">
        <v>636</v>
      </c>
      <c r="F13" s="42">
        <v>7</v>
      </c>
      <c r="G13" s="34">
        <v>4</v>
      </c>
      <c r="H13" s="35">
        <f t="shared" si="0"/>
        <v>11</v>
      </c>
      <c r="I13" s="36">
        <f t="shared" ref="I13:I76" si="4">ROUND(F13*E13,0)</f>
        <v>4452</v>
      </c>
      <c r="J13" s="36">
        <f t="shared" ref="J13:J76" si="5">ROUND(E13*G13,0)</f>
        <v>2544</v>
      </c>
      <c r="K13" s="36">
        <f t="shared" ref="K13:K76" si="6">I13+J13</f>
        <v>6996</v>
      </c>
      <c r="L13" s="36">
        <f t="shared" ref="L13:L76" si="7">ROUND($L$4*F13,0)</f>
        <v>4239</v>
      </c>
      <c r="M13" s="37">
        <f t="shared" ref="M13:M76" si="8">ROUND($L13*5%,0)</f>
        <v>212</v>
      </c>
      <c r="N13" s="36">
        <f t="shared" ref="N13:N76" si="9">K13-L13-M13</f>
        <v>2545</v>
      </c>
      <c r="O13" s="36">
        <f>N13+M13+L13</f>
        <v>6996</v>
      </c>
      <c r="P13" s="37">
        <f t="shared" si="1"/>
        <v>509</v>
      </c>
      <c r="Q13" s="37">
        <f t="shared" ref="Q13:Q76" si="10">IF(O13&lt;=7500,0,IF(O13&lt;=10000,175,200))</f>
        <v>0</v>
      </c>
      <c r="R13" s="37">
        <f t="shared" ref="R13:R76" si="11">ROUND(O13*0.75%,0)</f>
        <v>52</v>
      </c>
      <c r="S13" s="37"/>
      <c r="T13" s="31"/>
      <c r="U13" s="38"/>
      <c r="V13" s="38"/>
      <c r="W13" s="31"/>
      <c r="X13" s="37">
        <f t="shared" si="2"/>
        <v>561</v>
      </c>
      <c r="Y13" s="39">
        <f t="shared" si="3"/>
        <v>6435</v>
      </c>
      <c r="Z13" s="40">
        <v>500</v>
      </c>
      <c r="AA13" s="39">
        <f t="shared" ref="AA13:AA76" si="12">Y13-Z13</f>
        <v>5935</v>
      </c>
    </row>
    <row r="14" spans="1:27">
      <c r="A14" s="28">
        <v>4</v>
      </c>
      <c r="B14" s="29">
        <v>102043325356</v>
      </c>
      <c r="C14" s="30">
        <v>3316016132</v>
      </c>
      <c r="D14" s="31" t="s">
        <v>32</v>
      </c>
      <c r="E14" s="32">
        <v>636</v>
      </c>
      <c r="F14" s="33">
        <v>18</v>
      </c>
      <c r="G14" s="34">
        <v>7</v>
      </c>
      <c r="H14" s="35">
        <f t="shared" si="0"/>
        <v>25</v>
      </c>
      <c r="I14" s="36">
        <f t="shared" si="4"/>
        <v>11448</v>
      </c>
      <c r="J14" s="36">
        <f t="shared" si="5"/>
        <v>4452</v>
      </c>
      <c r="K14" s="36">
        <f t="shared" si="6"/>
        <v>15900</v>
      </c>
      <c r="L14" s="36">
        <f t="shared" si="7"/>
        <v>10901</v>
      </c>
      <c r="M14" s="37">
        <f t="shared" si="8"/>
        <v>545</v>
      </c>
      <c r="N14" s="36">
        <f t="shared" si="9"/>
        <v>4454</v>
      </c>
      <c r="O14" s="36">
        <f t="shared" ref="O14:O77" si="13">N14+M14+L14</f>
        <v>15900</v>
      </c>
      <c r="P14" s="37">
        <f t="shared" si="1"/>
        <v>1308</v>
      </c>
      <c r="Q14" s="37">
        <f t="shared" si="10"/>
        <v>200</v>
      </c>
      <c r="R14" s="37">
        <f t="shared" si="11"/>
        <v>119</v>
      </c>
      <c r="S14" s="37"/>
      <c r="T14" s="31"/>
      <c r="U14" s="38"/>
      <c r="V14" s="38"/>
      <c r="W14" s="31"/>
      <c r="X14" s="37">
        <f t="shared" si="2"/>
        <v>1627</v>
      </c>
      <c r="Y14" s="39">
        <f t="shared" si="3"/>
        <v>14273</v>
      </c>
      <c r="Z14" s="40">
        <v>500</v>
      </c>
      <c r="AA14" s="39">
        <f t="shared" si="12"/>
        <v>13773</v>
      </c>
    </row>
    <row r="15" spans="1:27">
      <c r="A15" s="28">
        <v>5</v>
      </c>
      <c r="B15" s="29">
        <v>101509952020</v>
      </c>
      <c r="C15" s="30">
        <v>3311275186</v>
      </c>
      <c r="D15" s="31" t="s">
        <v>33</v>
      </c>
      <c r="E15" s="32">
        <v>636</v>
      </c>
      <c r="F15" s="33">
        <v>15</v>
      </c>
      <c r="G15" s="34">
        <v>8</v>
      </c>
      <c r="H15" s="35">
        <f t="shared" si="0"/>
        <v>23</v>
      </c>
      <c r="I15" s="36">
        <f t="shared" si="4"/>
        <v>9540</v>
      </c>
      <c r="J15" s="36">
        <f t="shared" si="5"/>
        <v>5088</v>
      </c>
      <c r="K15" s="36">
        <f t="shared" si="6"/>
        <v>14628</v>
      </c>
      <c r="L15" s="36">
        <f t="shared" si="7"/>
        <v>9084</v>
      </c>
      <c r="M15" s="37">
        <f t="shared" si="8"/>
        <v>454</v>
      </c>
      <c r="N15" s="36">
        <f t="shared" si="9"/>
        <v>5090</v>
      </c>
      <c r="O15" s="36">
        <f t="shared" si="13"/>
        <v>14628</v>
      </c>
      <c r="P15" s="37">
        <f t="shared" si="1"/>
        <v>1090</v>
      </c>
      <c r="Q15" s="37">
        <f t="shared" si="10"/>
        <v>200</v>
      </c>
      <c r="R15" s="37">
        <f t="shared" si="11"/>
        <v>110</v>
      </c>
      <c r="S15" s="37"/>
      <c r="T15" s="31"/>
      <c r="U15" s="38"/>
      <c r="V15" s="38"/>
      <c r="W15" s="31"/>
      <c r="X15" s="37">
        <f t="shared" si="2"/>
        <v>1400</v>
      </c>
      <c r="Y15" s="39">
        <f t="shared" si="3"/>
        <v>13228</v>
      </c>
      <c r="Z15" s="40">
        <v>500</v>
      </c>
      <c r="AA15" s="39">
        <f t="shared" si="12"/>
        <v>12728</v>
      </c>
    </row>
    <row r="16" spans="1:27">
      <c r="A16" s="28">
        <v>6</v>
      </c>
      <c r="B16" s="29">
        <v>102056969235</v>
      </c>
      <c r="C16" s="30">
        <v>3316230356</v>
      </c>
      <c r="D16" s="31" t="s">
        <v>34</v>
      </c>
      <c r="E16" s="32">
        <v>636</v>
      </c>
      <c r="F16" s="33">
        <v>13</v>
      </c>
      <c r="G16" s="34">
        <v>8</v>
      </c>
      <c r="H16" s="35">
        <f t="shared" si="0"/>
        <v>21</v>
      </c>
      <c r="I16" s="36">
        <f t="shared" si="4"/>
        <v>8268</v>
      </c>
      <c r="J16" s="36">
        <f t="shared" si="5"/>
        <v>5088</v>
      </c>
      <c r="K16" s="36">
        <f t="shared" si="6"/>
        <v>13356</v>
      </c>
      <c r="L16" s="36">
        <f t="shared" si="7"/>
        <v>7873</v>
      </c>
      <c r="M16" s="37">
        <f t="shared" si="8"/>
        <v>394</v>
      </c>
      <c r="N16" s="36">
        <f t="shared" si="9"/>
        <v>5089</v>
      </c>
      <c r="O16" s="36">
        <f t="shared" si="13"/>
        <v>13356</v>
      </c>
      <c r="P16" s="37">
        <f t="shared" si="1"/>
        <v>945</v>
      </c>
      <c r="Q16" s="37">
        <f t="shared" si="10"/>
        <v>200</v>
      </c>
      <c r="R16" s="37">
        <f t="shared" si="11"/>
        <v>100</v>
      </c>
      <c r="S16" s="37"/>
      <c r="T16" s="31"/>
      <c r="U16" s="38"/>
      <c r="V16" s="38"/>
      <c r="W16" s="31"/>
      <c r="X16" s="37">
        <f t="shared" si="2"/>
        <v>1245</v>
      </c>
      <c r="Y16" s="39">
        <f t="shared" si="3"/>
        <v>12111</v>
      </c>
      <c r="Z16" s="40">
        <v>500</v>
      </c>
      <c r="AA16" s="39">
        <f t="shared" si="12"/>
        <v>11611</v>
      </c>
    </row>
    <row r="17" spans="1:27">
      <c r="A17" s="28">
        <v>7</v>
      </c>
      <c r="B17" s="29">
        <v>101475240602</v>
      </c>
      <c r="C17" s="30">
        <v>3310877479</v>
      </c>
      <c r="D17" s="31" t="s">
        <v>35</v>
      </c>
      <c r="E17" s="32">
        <v>636</v>
      </c>
      <c r="F17" s="42">
        <v>12</v>
      </c>
      <c r="G17" s="34">
        <v>8</v>
      </c>
      <c r="H17" s="35">
        <f t="shared" si="0"/>
        <v>20</v>
      </c>
      <c r="I17" s="36">
        <f t="shared" si="4"/>
        <v>7632</v>
      </c>
      <c r="J17" s="36">
        <f t="shared" si="5"/>
        <v>5088</v>
      </c>
      <c r="K17" s="36">
        <f t="shared" si="6"/>
        <v>12720</v>
      </c>
      <c r="L17" s="36">
        <f t="shared" si="7"/>
        <v>7267</v>
      </c>
      <c r="M17" s="37">
        <f t="shared" si="8"/>
        <v>363</v>
      </c>
      <c r="N17" s="36">
        <f t="shared" si="9"/>
        <v>5090</v>
      </c>
      <c r="O17" s="36">
        <f t="shared" si="13"/>
        <v>12720</v>
      </c>
      <c r="P17" s="37">
        <f t="shared" si="1"/>
        <v>872</v>
      </c>
      <c r="Q17" s="37">
        <f t="shared" si="10"/>
        <v>200</v>
      </c>
      <c r="R17" s="37">
        <f t="shared" si="11"/>
        <v>95</v>
      </c>
      <c r="S17" s="37"/>
      <c r="T17" s="31"/>
      <c r="U17" s="38"/>
      <c r="V17" s="38"/>
      <c r="W17" s="31"/>
      <c r="X17" s="37">
        <f t="shared" si="2"/>
        <v>1167</v>
      </c>
      <c r="Y17" s="39">
        <f t="shared" si="3"/>
        <v>11553</v>
      </c>
      <c r="Z17" s="40">
        <v>500</v>
      </c>
      <c r="AA17" s="39">
        <f t="shared" si="12"/>
        <v>11053</v>
      </c>
    </row>
    <row r="18" spans="1:27">
      <c r="A18" s="28">
        <v>8</v>
      </c>
      <c r="B18" s="29">
        <v>101835374035</v>
      </c>
      <c r="C18" s="30">
        <v>3315576432</v>
      </c>
      <c r="D18" s="31" t="s">
        <v>36</v>
      </c>
      <c r="E18" s="32">
        <v>636</v>
      </c>
      <c r="F18" s="33">
        <v>13</v>
      </c>
      <c r="G18" s="34">
        <v>8</v>
      </c>
      <c r="H18" s="35">
        <f t="shared" si="0"/>
        <v>21</v>
      </c>
      <c r="I18" s="36">
        <f t="shared" si="4"/>
        <v>8268</v>
      </c>
      <c r="J18" s="36">
        <f t="shared" si="5"/>
        <v>5088</v>
      </c>
      <c r="K18" s="36">
        <f t="shared" si="6"/>
        <v>13356</v>
      </c>
      <c r="L18" s="36">
        <f t="shared" si="7"/>
        <v>7873</v>
      </c>
      <c r="M18" s="37">
        <f t="shared" si="8"/>
        <v>394</v>
      </c>
      <c r="N18" s="36">
        <f t="shared" si="9"/>
        <v>5089</v>
      </c>
      <c r="O18" s="36">
        <f t="shared" si="13"/>
        <v>13356</v>
      </c>
      <c r="P18" s="37">
        <f t="shared" si="1"/>
        <v>945</v>
      </c>
      <c r="Q18" s="37">
        <f t="shared" si="10"/>
        <v>200</v>
      </c>
      <c r="R18" s="37">
        <f t="shared" si="11"/>
        <v>100</v>
      </c>
      <c r="S18" s="37"/>
      <c r="T18" s="31"/>
      <c r="U18" s="38"/>
      <c r="V18" s="38"/>
      <c r="W18" s="31"/>
      <c r="X18" s="37">
        <f t="shared" si="2"/>
        <v>1245</v>
      </c>
      <c r="Y18" s="39">
        <f t="shared" si="3"/>
        <v>12111</v>
      </c>
      <c r="Z18" s="40">
        <v>500</v>
      </c>
      <c r="AA18" s="39">
        <f t="shared" si="12"/>
        <v>11611</v>
      </c>
    </row>
    <row r="19" spans="1:27">
      <c r="A19" s="28">
        <v>9</v>
      </c>
      <c r="B19" s="29">
        <v>102025154331</v>
      </c>
      <c r="C19" s="30">
        <v>3315898061</v>
      </c>
      <c r="D19" s="31" t="s">
        <v>37</v>
      </c>
      <c r="E19" s="32">
        <v>636</v>
      </c>
      <c r="F19" s="33">
        <v>14</v>
      </c>
      <c r="G19" s="34">
        <v>8</v>
      </c>
      <c r="H19" s="35">
        <f t="shared" si="0"/>
        <v>22</v>
      </c>
      <c r="I19" s="36">
        <f t="shared" si="4"/>
        <v>8904</v>
      </c>
      <c r="J19" s="36">
        <f t="shared" si="5"/>
        <v>5088</v>
      </c>
      <c r="K19" s="36">
        <f t="shared" si="6"/>
        <v>13992</v>
      </c>
      <c r="L19" s="36">
        <f t="shared" si="7"/>
        <v>8479</v>
      </c>
      <c r="M19" s="37">
        <f t="shared" si="8"/>
        <v>424</v>
      </c>
      <c r="N19" s="36">
        <f t="shared" si="9"/>
        <v>5089</v>
      </c>
      <c r="O19" s="36">
        <f t="shared" si="13"/>
        <v>13992</v>
      </c>
      <c r="P19" s="37">
        <f t="shared" si="1"/>
        <v>1017</v>
      </c>
      <c r="Q19" s="37">
        <f t="shared" si="10"/>
        <v>200</v>
      </c>
      <c r="R19" s="37">
        <f t="shared" si="11"/>
        <v>105</v>
      </c>
      <c r="S19" s="37"/>
      <c r="T19" s="31"/>
      <c r="U19" s="38"/>
      <c r="V19" s="38"/>
      <c r="W19" s="31"/>
      <c r="X19" s="37">
        <f t="shared" si="2"/>
        <v>1322</v>
      </c>
      <c r="Y19" s="39">
        <f t="shared" si="3"/>
        <v>12670</v>
      </c>
      <c r="Z19" s="40">
        <v>500</v>
      </c>
      <c r="AA19" s="39">
        <f t="shared" si="12"/>
        <v>12170</v>
      </c>
    </row>
    <row r="20" spans="1:27">
      <c r="A20" s="28">
        <v>10</v>
      </c>
      <c r="B20" s="43">
        <v>102232142117</v>
      </c>
      <c r="C20" s="30">
        <v>3317899290</v>
      </c>
      <c r="D20" s="31" t="s">
        <v>38</v>
      </c>
      <c r="E20" s="32">
        <v>636</v>
      </c>
      <c r="F20" s="42">
        <v>0</v>
      </c>
      <c r="G20" s="34"/>
      <c r="H20" s="35">
        <f t="shared" si="0"/>
        <v>0</v>
      </c>
      <c r="I20" s="36">
        <f t="shared" si="4"/>
        <v>0</v>
      </c>
      <c r="J20" s="36">
        <f t="shared" si="5"/>
        <v>0</v>
      </c>
      <c r="K20" s="36">
        <f t="shared" si="6"/>
        <v>0</v>
      </c>
      <c r="L20" s="36">
        <f t="shared" si="7"/>
        <v>0</v>
      </c>
      <c r="M20" s="37">
        <f t="shared" si="8"/>
        <v>0</v>
      </c>
      <c r="N20" s="36">
        <f t="shared" si="9"/>
        <v>0</v>
      </c>
      <c r="O20" s="36">
        <f t="shared" si="13"/>
        <v>0</v>
      </c>
      <c r="P20" s="37">
        <f t="shared" si="1"/>
        <v>0</v>
      </c>
      <c r="Q20" s="37">
        <f t="shared" si="10"/>
        <v>0</v>
      </c>
      <c r="R20" s="37">
        <f t="shared" si="11"/>
        <v>0</v>
      </c>
      <c r="S20" s="37"/>
      <c r="T20" s="31"/>
      <c r="U20" s="38"/>
      <c r="V20" s="38"/>
      <c r="W20" s="31"/>
      <c r="X20" s="37">
        <f t="shared" si="2"/>
        <v>0</v>
      </c>
      <c r="Y20" s="39">
        <f t="shared" si="3"/>
        <v>0</v>
      </c>
      <c r="Z20" s="40">
        <v>500</v>
      </c>
      <c r="AA20" s="39">
        <f t="shared" si="12"/>
        <v>-500</v>
      </c>
    </row>
    <row r="21" spans="1:27">
      <c r="A21" s="28">
        <v>11</v>
      </c>
      <c r="B21" s="29">
        <v>102143026061</v>
      </c>
      <c r="C21" s="30">
        <v>3317026055</v>
      </c>
      <c r="D21" s="31" t="s">
        <v>39</v>
      </c>
      <c r="E21" s="32">
        <v>636</v>
      </c>
      <c r="F21" s="33">
        <v>9</v>
      </c>
      <c r="G21" s="34">
        <v>6</v>
      </c>
      <c r="H21" s="35">
        <f t="shared" si="0"/>
        <v>15</v>
      </c>
      <c r="I21" s="36">
        <f t="shared" si="4"/>
        <v>5724</v>
      </c>
      <c r="J21" s="36">
        <f t="shared" si="5"/>
        <v>3816</v>
      </c>
      <c r="K21" s="36">
        <f t="shared" si="6"/>
        <v>9540</v>
      </c>
      <c r="L21" s="36">
        <f t="shared" si="7"/>
        <v>5451</v>
      </c>
      <c r="M21" s="37">
        <f t="shared" si="8"/>
        <v>273</v>
      </c>
      <c r="N21" s="36">
        <f t="shared" si="9"/>
        <v>3816</v>
      </c>
      <c r="O21" s="36">
        <f t="shared" si="13"/>
        <v>9540</v>
      </c>
      <c r="P21" s="37">
        <f t="shared" si="1"/>
        <v>654</v>
      </c>
      <c r="Q21" s="37">
        <f t="shared" si="10"/>
        <v>175</v>
      </c>
      <c r="R21" s="37">
        <f t="shared" si="11"/>
        <v>72</v>
      </c>
      <c r="S21" s="37"/>
      <c r="T21" s="31"/>
      <c r="U21" s="38"/>
      <c r="V21" s="38"/>
      <c r="W21" s="31"/>
      <c r="X21" s="37">
        <f t="shared" si="2"/>
        <v>901</v>
      </c>
      <c r="Y21" s="39">
        <f t="shared" si="3"/>
        <v>8639</v>
      </c>
      <c r="Z21" s="40">
        <v>500</v>
      </c>
      <c r="AA21" s="39">
        <f t="shared" si="12"/>
        <v>8139</v>
      </c>
    </row>
    <row r="22" spans="1:27">
      <c r="A22" s="28">
        <v>12</v>
      </c>
      <c r="B22" s="29">
        <v>101623086404</v>
      </c>
      <c r="C22" s="30">
        <v>3316938981</v>
      </c>
      <c r="D22" s="31" t="s">
        <v>40</v>
      </c>
      <c r="E22" s="32">
        <v>636</v>
      </c>
      <c r="F22" s="42">
        <v>17</v>
      </c>
      <c r="G22" s="34">
        <v>7</v>
      </c>
      <c r="H22" s="35">
        <f t="shared" si="0"/>
        <v>24</v>
      </c>
      <c r="I22" s="36">
        <f t="shared" si="4"/>
        <v>10812</v>
      </c>
      <c r="J22" s="36">
        <f t="shared" si="5"/>
        <v>4452</v>
      </c>
      <c r="K22" s="36">
        <f t="shared" si="6"/>
        <v>15264</v>
      </c>
      <c r="L22" s="36">
        <f t="shared" si="7"/>
        <v>10295</v>
      </c>
      <c r="M22" s="37">
        <f t="shared" si="8"/>
        <v>515</v>
      </c>
      <c r="N22" s="36">
        <f t="shared" si="9"/>
        <v>4454</v>
      </c>
      <c r="O22" s="36">
        <f t="shared" si="13"/>
        <v>15264</v>
      </c>
      <c r="P22" s="37">
        <f t="shared" si="1"/>
        <v>1235</v>
      </c>
      <c r="Q22" s="37">
        <f t="shared" si="10"/>
        <v>200</v>
      </c>
      <c r="R22" s="37">
        <f t="shared" si="11"/>
        <v>114</v>
      </c>
      <c r="S22" s="37"/>
      <c r="T22" s="31"/>
      <c r="U22" s="38"/>
      <c r="V22" s="38"/>
      <c r="W22" s="31"/>
      <c r="X22" s="37">
        <f t="shared" si="2"/>
        <v>1549</v>
      </c>
      <c r="Y22" s="39">
        <f t="shared" si="3"/>
        <v>13715</v>
      </c>
      <c r="Z22" s="40">
        <v>500</v>
      </c>
      <c r="AA22" s="39">
        <f t="shared" si="12"/>
        <v>13215</v>
      </c>
    </row>
    <row r="23" spans="1:27">
      <c r="A23" s="28">
        <v>13</v>
      </c>
      <c r="B23" s="29">
        <v>102028098436</v>
      </c>
      <c r="C23" s="30">
        <v>3315926963</v>
      </c>
      <c r="D23" s="31" t="s">
        <v>41</v>
      </c>
      <c r="E23" s="32">
        <v>636</v>
      </c>
      <c r="F23" s="33">
        <v>18</v>
      </c>
      <c r="G23" s="34">
        <v>7</v>
      </c>
      <c r="H23" s="35">
        <f t="shared" si="0"/>
        <v>25</v>
      </c>
      <c r="I23" s="36">
        <f t="shared" si="4"/>
        <v>11448</v>
      </c>
      <c r="J23" s="36">
        <f t="shared" si="5"/>
        <v>4452</v>
      </c>
      <c r="K23" s="36">
        <f t="shared" si="6"/>
        <v>15900</v>
      </c>
      <c r="L23" s="36">
        <f t="shared" si="7"/>
        <v>10901</v>
      </c>
      <c r="M23" s="37">
        <f t="shared" si="8"/>
        <v>545</v>
      </c>
      <c r="N23" s="36">
        <f t="shared" si="9"/>
        <v>4454</v>
      </c>
      <c r="O23" s="36">
        <f t="shared" si="13"/>
        <v>15900</v>
      </c>
      <c r="P23" s="37">
        <f t="shared" si="1"/>
        <v>1308</v>
      </c>
      <c r="Q23" s="37">
        <f t="shared" si="10"/>
        <v>200</v>
      </c>
      <c r="R23" s="37">
        <f t="shared" si="11"/>
        <v>119</v>
      </c>
      <c r="S23" s="37"/>
      <c r="T23" s="31"/>
      <c r="U23" s="38"/>
      <c r="V23" s="38"/>
      <c r="W23" s="31"/>
      <c r="X23" s="37">
        <f t="shared" si="2"/>
        <v>1627</v>
      </c>
      <c r="Y23" s="39">
        <f t="shared" si="3"/>
        <v>14273</v>
      </c>
      <c r="Z23" s="40">
        <v>500</v>
      </c>
      <c r="AA23" s="39">
        <f t="shared" si="12"/>
        <v>13773</v>
      </c>
    </row>
    <row r="24" spans="1:27">
      <c r="A24" s="28">
        <v>14</v>
      </c>
      <c r="B24" s="29">
        <v>102062761038</v>
      </c>
      <c r="C24" s="30">
        <v>3316249185</v>
      </c>
      <c r="D24" s="31" t="s">
        <v>42</v>
      </c>
      <c r="E24" s="32">
        <v>636</v>
      </c>
      <c r="F24" s="33">
        <v>18</v>
      </c>
      <c r="G24" s="34">
        <v>7</v>
      </c>
      <c r="H24" s="35">
        <f t="shared" si="0"/>
        <v>25</v>
      </c>
      <c r="I24" s="36">
        <f t="shared" si="4"/>
        <v>11448</v>
      </c>
      <c r="J24" s="36">
        <f t="shared" si="5"/>
        <v>4452</v>
      </c>
      <c r="K24" s="36">
        <f t="shared" si="6"/>
        <v>15900</v>
      </c>
      <c r="L24" s="36">
        <f t="shared" si="7"/>
        <v>10901</v>
      </c>
      <c r="M24" s="37">
        <f t="shared" si="8"/>
        <v>545</v>
      </c>
      <c r="N24" s="36">
        <f t="shared" si="9"/>
        <v>4454</v>
      </c>
      <c r="O24" s="36">
        <f t="shared" si="13"/>
        <v>15900</v>
      </c>
      <c r="P24" s="37">
        <f t="shared" si="1"/>
        <v>1308</v>
      </c>
      <c r="Q24" s="37">
        <f t="shared" si="10"/>
        <v>200</v>
      </c>
      <c r="R24" s="37">
        <f t="shared" si="11"/>
        <v>119</v>
      </c>
      <c r="S24" s="37"/>
      <c r="T24" s="31"/>
      <c r="U24" s="38"/>
      <c r="V24" s="38"/>
      <c r="W24" s="31"/>
      <c r="X24" s="37">
        <f t="shared" si="2"/>
        <v>1627</v>
      </c>
      <c r="Y24" s="39">
        <f t="shared" si="3"/>
        <v>14273</v>
      </c>
      <c r="Z24" s="40">
        <v>500</v>
      </c>
      <c r="AA24" s="39">
        <f t="shared" si="12"/>
        <v>13773</v>
      </c>
    </row>
    <row r="25" spans="1:27">
      <c r="A25" s="28">
        <v>15</v>
      </c>
      <c r="B25" s="29">
        <v>101966176359</v>
      </c>
      <c r="C25" s="30">
        <v>3315359696</v>
      </c>
      <c r="D25" s="31" t="s">
        <v>43</v>
      </c>
      <c r="E25" s="32">
        <v>636</v>
      </c>
      <c r="F25" s="33">
        <v>18</v>
      </c>
      <c r="G25" s="34">
        <v>7</v>
      </c>
      <c r="H25" s="35">
        <f t="shared" si="0"/>
        <v>25</v>
      </c>
      <c r="I25" s="36">
        <f t="shared" si="4"/>
        <v>11448</v>
      </c>
      <c r="J25" s="36">
        <f t="shared" si="5"/>
        <v>4452</v>
      </c>
      <c r="K25" s="36">
        <f t="shared" si="6"/>
        <v>15900</v>
      </c>
      <c r="L25" s="36">
        <f t="shared" si="7"/>
        <v>10901</v>
      </c>
      <c r="M25" s="37">
        <f t="shared" si="8"/>
        <v>545</v>
      </c>
      <c r="N25" s="36">
        <f t="shared" si="9"/>
        <v>4454</v>
      </c>
      <c r="O25" s="36">
        <f t="shared" si="13"/>
        <v>15900</v>
      </c>
      <c r="P25" s="37">
        <f t="shared" si="1"/>
        <v>1308</v>
      </c>
      <c r="Q25" s="37">
        <f t="shared" si="10"/>
        <v>200</v>
      </c>
      <c r="R25" s="37">
        <f t="shared" si="11"/>
        <v>119</v>
      </c>
      <c r="S25" s="37"/>
      <c r="T25" s="31"/>
      <c r="U25" s="38"/>
      <c r="V25" s="38"/>
      <c r="W25" s="31"/>
      <c r="X25" s="37">
        <f t="shared" si="2"/>
        <v>1627</v>
      </c>
      <c r="Y25" s="39">
        <f t="shared" si="3"/>
        <v>14273</v>
      </c>
      <c r="Z25" s="40">
        <v>500</v>
      </c>
      <c r="AA25" s="39">
        <f t="shared" si="12"/>
        <v>13773</v>
      </c>
    </row>
    <row r="26" spans="1:27">
      <c r="A26" s="28">
        <v>16</v>
      </c>
      <c r="B26" s="43">
        <v>101868848739</v>
      </c>
      <c r="C26" s="30">
        <v>3317632048</v>
      </c>
      <c r="D26" s="31" t="s">
        <v>44</v>
      </c>
      <c r="E26" s="32">
        <v>636</v>
      </c>
      <c r="F26" s="33">
        <v>18</v>
      </c>
      <c r="G26" s="34">
        <v>7</v>
      </c>
      <c r="H26" s="35">
        <f t="shared" si="0"/>
        <v>25</v>
      </c>
      <c r="I26" s="36">
        <f t="shared" si="4"/>
        <v>11448</v>
      </c>
      <c r="J26" s="36">
        <f t="shared" si="5"/>
        <v>4452</v>
      </c>
      <c r="K26" s="36">
        <f t="shared" si="6"/>
        <v>15900</v>
      </c>
      <c r="L26" s="36">
        <f t="shared" si="7"/>
        <v>10901</v>
      </c>
      <c r="M26" s="37">
        <f t="shared" si="8"/>
        <v>545</v>
      </c>
      <c r="N26" s="36">
        <f t="shared" si="9"/>
        <v>4454</v>
      </c>
      <c r="O26" s="36">
        <f t="shared" si="13"/>
        <v>15900</v>
      </c>
      <c r="P26" s="37">
        <f t="shared" si="1"/>
        <v>1308</v>
      </c>
      <c r="Q26" s="37">
        <f t="shared" si="10"/>
        <v>200</v>
      </c>
      <c r="R26" s="37">
        <f t="shared" si="11"/>
        <v>119</v>
      </c>
      <c r="S26" s="37"/>
      <c r="T26" s="31"/>
      <c r="U26" s="38"/>
      <c r="V26" s="38"/>
      <c r="W26" s="31"/>
      <c r="X26" s="37">
        <f t="shared" si="2"/>
        <v>1627</v>
      </c>
      <c r="Y26" s="39">
        <f t="shared" si="3"/>
        <v>14273</v>
      </c>
      <c r="Z26" s="40">
        <v>500</v>
      </c>
      <c r="AA26" s="39">
        <f t="shared" si="12"/>
        <v>13773</v>
      </c>
    </row>
    <row r="27" spans="1:27">
      <c r="A27" s="28">
        <v>17</v>
      </c>
      <c r="B27" s="29">
        <v>101972731570</v>
      </c>
      <c r="C27" s="30">
        <v>3315397620</v>
      </c>
      <c r="D27" s="31" t="s">
        <v>45</v>
      </c>
      <c r="E27" s="32">
        <v>636</v>
      </c>
      <c r="F27" s="33">
        <v>18</v>
      </c>
      <c r="G27" s="34">
        <v>7</v>
      </c>
      <c r="H27" s="35">
        <f t="shared" si="0"/>
        <v>25</v>
      </c>
      <c r="I27" s="36">
        <f t="shared" si="4"/>
        <v>11448</v>
      </c>
      <c r="J27" s="36">
        <f t="shared" si="5"/>
        <v>4452</v>
      </c>
      <c r="K27" s="36">
        <f t="shared" si="6"/>
        <v>15900</v>
      </c>
      <c r="L27" s="36">
        <f t="shared" si="7"/>
        <v>10901</v>
      </c>
      <c r="M27" s="37">
        <f t="shared" si="8"/>
        <v>545</v>
      </c>
      <c r="N27" s="36">
        <f t="shared" si="9"/>
        <v>4454</v>
      </c>
      <c r="O27" s="36">
        <f t="shared" si="13"/>
        <v>15900</v>
      </c>
      <c r="P27" s="37">
        <f t="shared" si="1"/>
        <v>1308</v>
      </c>
      <c r="Q27" s="37">
        <f t="shared" si="10"/>
        <v>200</v>
      </c>
      <c r="R27" s="37">
        <f t="shared" si="11"/>
        <v>119</v>
      </c>
      <c r="S27" s="37"/>
      <c r="T27" s="31"/>
      <c r="U27" s="38"/>
      <c r="V27" s="38"/>
      <c r="W27" s="31"/>
      <c r="X27" s="37">
        <f t="shared" si="2"/>
        <v>1627</v>
      </c>
      <c r="Y27" s="39">
        <f t="shared" si="3"/>
        <v>14273</v>
      </c>
      <c r="Z27" s="40">
        <v>500</v>
      </c>
      <c r="AA27" s="39">
        <f t="shared" si="12"/>
        <v>13773</v>
      </c>
    </row>
    <row r="28" spans="1:27">
      <c r="A28" s="28">
        <v>18</v>
      </c>
      <c r="B28" s="29">
        <v>102004077854</v>
      </c>
      <c r="C28" s="30">
        <v>3315667432</v>
      </c>
      <c r="D28" s="31" t="s">
        <v>46</v>
      </c>
      <c r="E28" s="32">
        <v>636</v>
      </c>
      <c r="F28" s="33">
        <v>18</v>
      </c>
      <c r="G28" s="34">
        <v>7</v>
      </c>
      <c r="H28" s="35">
        <f t="shared" si="0"/>
        <v>25</v>
      </c>
      <c r="I28" s="36">
        <f t="shared" si="4"/>
        <v>11448</v>
      </c>
      <c r="J28" s="36">
        <f t="shared" si="5"/>
        <v>4452</v>
      </c>
      <c r="K28" s="36">
        <f t="shared" si="6"/>
        <v>15900</v>
      </c>
      <c r="L28" s="36">
        <f t="shared" si="7"/>
        <v>10901</v>
      </c>
      <c r="M28" s="37">
        <f t="shared" si="8"/>
        <v>545</v>
      </c>
      <c r="N28" s="36">
        <f t="shared" si="9"/>
        <v>4454</v>
      </c>
      <c r="O28" s="36">
        <f t="shared" si="13"/>
        <v>15900</v>
      </c>
      <c r="P28" s="37">
        <f t="shared" si="1"/>
        <v>1308</v>
      </c>
      <c r="Q28" s="37">
        <f t="shared" si="10"/>
        <v>200</v>
      </c>
      <c r="R28" s="37">
        <f t="shared" si="11"/>
        <v>119</v>
      </c>
      <c r="S28" s="37"/>
      <c r="T28" s="31"/>
      <c r="U28" s="38"/>
      <c r="V28" s="38"/>
      <c r="W28" s="31"/>
      <c r="X28" s="37">
        <f t="shared" si="2"/>
        <v>1627</v>
      </c>
      <c r="Y28" s="39">
        <f t="shared" si="3"/>
        <v>14273</v>
      </c>
      <c r="Z28" s="40">
        <v>500</v>
      </c>
      <c r="AA28" s="39">
        <f t="shared" si="12"/>
        <v>13773</v>
      </c>
    </row>
    <row r="29" spans="1:27">
      <c r="A29" s="28">
        <v>19</v>
      </c>
      <c r="B29" s="29">
        <v>101410043453</v>
      </c>
      <c r="C29" s="30">
        <v>3314106884</v>
      </c>
      <c r="D29" s="31" t="s">
        <v>47</v>
      </c>
      <c r="E29" s="32">
        <v>636</v>
      </c>
      <c r="F29" s="42">
        <v>9</v>
      </c>
      <c r="G29" s="34">
        <v>6</v>
      </c>
      <c r="H29" s="35">
        <f t="shared" si="0"/>
        <v>15</v>
      </c>
      <c r="I29" s="36">
        <f t="shared" si="4"/>
        <v>5724</v>
      </c>
      <c r="J29" s="36">
        <f t="shared" si="5"/>
        <v>3816</v>
      </c>
      <c r="K29" s="36">
        <f t="shared" si="6"/>
        <v>9540</v>
      </c>
      <c r="L29" s="36">
        <f t="shared" si="7"/>
        <v>5451</v>
      </c>
      <c r="M29" s="37">
        <f t="shared" si="8"/>
        <v>273</v>
      </c>
      <c r="N29" s="36">
        <f t="shared" si="9"/>
        <v>3816</v>
      </c>
      <c r="O29" s="36">
        <f t="shared" si="13"/>
        <v>9540</v>
      </c>
      <c r="P29" s="37">
        <f t="shared" si="1"/>
        <v>654</v>
      </c>
      <c r="Q29" s="37">
        <f t="shared" si="10"/>
        <v>175</v>
      </c>
      <c r="R29" s="37">
        <f t="shared" si="11"/>
        <v>72</v>
      </c>
      <c r="S29" s="37"/>
      <c r="T29" s="31"/>
      <c r="U29" s="38"/>
      <c r="V29" s="38"/>
      <c r="W29" s="31"/>
      <c r="X29" s="37">
        <f t="shared" si="2"/>
        <v>901</v>
      </c>
      <c r="Y29" s="39">
        <f t="shared" si="3"/>
        <v>8639</v>
      </c>
      <c r="Z29" s="40">
        <v>500</v>
      </c>
      <c r="AA29" s="39">
        <f t="shared" si="12"/>
        <v>8139</v>
      </c>
    </row>
    <row r="30" spans="1:27">
      <c r="A30" s="28">
        <v>20</v>
      </c>
      <c r="B30" s="29">
        <v>101388345766</v>
      </c>
      <c r="C30" s="30">
        <v>3310279715</v>
      </c>
      <c r="D30" s="31" t="s">
        <v>48</v>
      </c>
      <c r="E30" s="32">
        <v>636</v>
      </c>
      <c r="F30" s="42">
        <v>14</v>
      </c>
      <c r="G30" s="34">
        <v>8</v>
      </c>
      <c r="H30" s="35">
        <f t="shared" si="0"/>
        <v>22</v>
      </c>
      <c r="I30" s="36">
        <f t="shared" si="4"/>
        <v>8904</v>
      </c>
      <c r="J30" s="36">
        <f t="shared" si="5"/>
        <v>5088</v>
      </c>
      <c r="K30" s="36">
        <f t="shared" si="6"/>
        <v>13992</v>
      </c>
      <c r="L30" s="36">
        <f t="shared" si="7"/>
        <v>8479</v>
      </c>
      <c r="M30" s="37">
        <f t="shared" si="8"/>
        <v>424</v>
      </c>
      <c r="N30" s="36">
        <f t="shared" si="9"/>
        <v>5089</v>
      </c>
      <c r="O30" s="36">
        <f t="shared" si="13"/>
        <v>13992</v>
      </c>
      <c r="P30" s="37">
        <f t="shared" si="1"/>
        <v>1017</v>
      </c>
      <c r="Q30" s="37">
        <f t="shared" si="10"/>
        <v>200</v>
      </c>
      <c r="R30" s="37">
        <f t="shared" si="11"/>
        <v>105</v>
      </c>
      <c r="S30" s="37"/>
      <c r="T30" s="31"/>
      <c r="U30" s="38"/>
      <c r="V30" s="38"/>
      <c r="W30" s="31"/>
      <c r="X30" s="37">
        <f t="shared" si="2"/>
        <v>1322</v>
      </c>
      <c r="Y30" s="39">
        <f t="shared" si="3"/>
        <v>12670</v>
      </c>
      <c r="Z30" s="40">
        <v>500</v>
      </c>
      <c r="AA30" s="39">
        <f t="shared" si="12"/>
        <v>12170</v>
      </c>
    </row>
    <row r="31" spans="1:27">
      <c r="A31" s="28">
        <v>21</v>
      </c>
      <c r="B31" s="29">
        <v>100590315745</v>
      </c>
      <c r="C31" s="30">
        <v>3315291117</v>
      </c>
      <c r="D31" s="31" t="s">
        <v>49</v>
      </c>
      <c r="E31" s="32">
        <v>636</v>
      </c>
      <c r="F31" s="33">
        <v>18</v>
      </c>
      <c r="G31" s="34">
        <v>7</v>
      </c>
      <c r="H31" s="35">
        <f t="shared" si="0"/>
        <v>25</v>
      </c>
      <c r="I31" s="36">
        <f t="shared" si="4"/>
        <v>11448</v>
      </c>
      <c r="J31" s="36">
        <f t="shared" si="5"/>
        <v>4452</v>
      </c>
      <c r="K31" s="36">
        <f t="shared" si="6"/>
        <v>15900</v>
      </c>
      <c r="L31" s="36">
        <f t="shared" si="7"/>
        <v>10901</v>
      </c>
      <c r="M31" s="37">
        <f t="shared" si="8"/>
        <v>545</v>
      </c>
      <c r="N31" s="36">
        <f t="shared" si="9"/>
        <v>4454</v>
      </c>
      <c r="O31" s="36">
        <f t="shared" si="13"/>
        <v>15900</v>
      </c>
      <c r="P31" s="37">
        <f t="shared" si="1"/>
        <v>1308</v>
      </c>
      <c r="Q31" s="37">
        <f t="shared" si="10"/>
        <v>200</v>
      </c>
      <c r="R31" s="37">
        <f t="shared" si="11"/>
        <v>119</v>
      </c>
      <c r="S31" s="37"/>
      <c r="T31" s="31"/>
      <c r="U31" s="38"/>
      <c r="V31" s="38"/>
      <c r="W31" s="31"/>
      <c r="X31" s="37">
        <f t="shared" si="2"/>
        <v>1627</v>
      </c>
      <c r="Y31" s="39">
        <f t="shared" si="3"/>
        <v>14273</v>
      </c>
      <c r="Z31" s="40">
        <v>500</v>
      </c>
      <c r="AA31" s="39">
        <f t="shared" si="12"/>
        <v>13773</v>
      </c>
    </row>
    <row r="32" spans="1:27">
      <c r="A32" s="28">
        <v>22</v>
      </c>
      <c r="B32" s="29">
        <v>101391642731</v>
      </c>
      <c r="C32" s="30">
        <v>3310860091</v>
      </c>
      <c r="D32" s="31" t="s">
        <v>50</v>
      </c>
      <c r="E32" s="32">
        <v>636</v>
      </c>
      <c r="F32" s="33">
        <v>17</v>
      </c>
      <c r="G32" s="34">
        <v>7</v>
      </c>
      <c r="H32" s="35">
        <f t="shared" si="0"/>
        <v>24</v>
      </c>
      <c r="I32" s="36">
        <f t="shared" si="4"/>
        <v>10812</v>
      </c>
      <c r="J32" s="36">
        <f t="shared" si="5"/>
        <v>4452</v>
      </c>
      <c r="K32" s="36">
        <f t="shared" si="6"/>
        <v>15264</v>
      </c>
      <c r="L32" s="36">
        <f t="shared" si="7"/>
        <v>10295</v>
      </c>
      <c r="M32" s="37">
        <f t="shared" si="8"/>
        <v>515</v>
      </c>
      <c r="N32" s="36">
        <f t="shared" si="9"/>
        <v>4454</v>
      </c>
      <c r="O32" s="36">
        <f t="shared" si="13"/>
        <v>15264</v>
      </c>
      <c r="P32" s="37">
        <f t="shared" si="1"/>
        <v>1235</v>
      </c>
      <c r="Q32" s="37">
        <f t="shared" si="10"/>
        <v>200</v>
      </c>
      <c r="R32" s="37">
        <f t="shared" si="11"/>
        <v>114</v>
      </c>
      <c r="S32" s="37"/>
      <c r="T32" s="31"/>
      <c r="U32" s="38"/>
      <c r="V32" s="38"/>
      <c r="W32" s="31"/>
      <c r="X32" s="37">
        <f t="shared" si="2"/>
        <v>1549</v>
      </c>
      <c r="Y32" s="39">
        <f t="shared" si="3"/>
        <v>13715</v>
      </c>
      <c r="Z32" s="40">
        <v>500</v>
      </c>
      <c r="AA32" s="39">
        <f t="shared" si="12"/>
        <v>13215</v>
      </c>
    </row>
    <row r="33" spans="1:27">
      <c r="A33" s="28">
        <v>23</v>
      </c>
      <c r="B33" s="29">
        <v>101951607402</v>
      </c>
      <c r="C33" s="30">
        <v>3315195309</v>
      </c>
      <c r="D33" s="31" t="s">
        <v>51</v>
      </c>
      <c r="E33" s="32">
        <v>636</v>
      </c>
      <c r="F33" s="33">
        <v>18</v>
      </c>
      <c r="G33" s="34">
        <v>7</v>
      </c>
      <c r="H33" s="35">
        <f t="shared" si="0"/>
        <v>25</v>
      </c>
      <c r="I33" s="36">
        <f t="shared" si="4"/>
        <v>11448</v>
      </c>
      <c r="J33" s="36">
        <f t="shared" si="5"/>
        <v>4452</v>
      </c>
      <c r="K33" s="36">
        <f t="shared" si="6"/>
        <v>15900</v>
      </c>
      <c r="L33" s="36">
        <f t="shared" si="7"/>
        <v>10901</v>
      </c>
      <c r="M33" s="37">
        <f t="shared" si="8"/>
        <v>545</v>
      </c>
      <c r="N33" s="36">
        <f t="shared" si="9"/>
        <v>4454</v>
      </c>
      <c r="O33" s="36">
        <f t="shared" si="13"/>
        <v>15900</v>
      </c>
      <c r="P33" s="37">
        <f t="shared" si="1"/>
        <v>1308</v>
      </c>
      <c r="Q33" s="37">
        <f t="shared" si="10"/>
        <v>200</v>
      </c>
      <c r="R33" s="37">
        <f t="shared" si="11"/>
        <v>119</v>
      </c>
      <c r="S33" s="37"/>
      <c r="T33" s="31"/>
      <c r="U33" s="38"/>
      <c r="V33" s="38"/>
      <c r="W33" s="31"/>
      <c r="X33" s="37">
        <f t="shared" si="2"/>
        <v>1627</v>
      </c>
      <c r="Y33" s="39">
        <f t="shared" si="3"/>
        <v>14273</v>
      </c>
      <c r="Z33" s="40">
        <v>500</v>
      </c>
      <c r="AA33" s="39">
        <f t="shared" si="12"/>
        <v>13773</v>
      </c>
    </row>
    <row r="34" spans="1:27">
      <c r="A34" s="28">
        <v>24</v>
      </c>
      <c r="B34" s="29">
        <v>102053057886</v>
      </c>
      <c r="C34" s="30">
        <v>3316182475</v>
      </c>
      <c r="D34" s="31" t="s">
        <v>52</v>
      </c>
      <c r="E34" s="32">
        <v>636</v>
      </c>
      <c r="F34" s="33">
        <v>18</v>
      </c>
      <c r="G34" s="34">
        <v>7</v>
      </c>
      <c r="H34" s="35">
        <f t="shared" si="0"/>
        <v>25</v>
      </c>
      <c r="I34" s="36">
        <f t="shared" si="4"/>
        <v>11448</v>
      </c>
      <c r="J34" s="36">
        <f t="shared" si="5"/>
        <v>4452</v>
      </c>
      <c r="K34" s="36">
        <f t="shared" si="6"/>
        <v>15900</v>
      </c>
      <c r="L34" s="36">
        <f t="shared" si="7"/>
        <v>10901</v>
      </c>
      <c r="M34" s="37">
        <f t="shared" si="8"/>
        <v>545</v>
      </c>
      <c r="N34" s="36">
        <f t="shared" si="9"/>
        <v>4454</v>
      </c>
      <c r="O34" s="36">
        <f t="shared" si="13"/>
        <v>15900</v>
      </c>
      <c r="P34" s="37">
        <f t="shared" si="1"/>
        <v>1308</v>
      </c>
      <c r="Q34" s="37">
        <f t="shared" si="10"/>
        <v>200</v>
      </c>
      <c r="R34" s="37">
        <f t="shared" si="11"/>
        <v>119</v>
      </c>
      <c r="S34" s="37"/>
      <c r="T34" s="31"/>
      <c r="U34" s="38"/>
      <c r="V34" s="38"/>
      <c r="W34" s="31"/>
      <c r="X34" s="37">
        <f t="shared" si="2"/>
        <v>1627</v>
      </c>
      <c r="Y34" s="39">
        <f t="shared" si="3"/>
        <v>14273</v>
      </c>
      <c r="Z34" s="40">
        <v>500</v>
      </c>
      <c r="AA34" s="39">
        <f t="shared" si="12"/>
        <v>13773</v>
      </c>
    </row>
    <row r="35" spans="1:27">
      <c r="A35" s="28">
        <v>25</v>
      </c>
      <c r="B35" s="29">
        <v>102052667942</v>
      </c>
      <c r="C35" s="30">
        <v>3316185594</v>
      </c>
      <c r="D35" s="31" t="s">
        <v>53</v>
      </c>
      <c r="E35" s="32">
        <v>636</v>
      </c>
      <c r="F35" s="33">
        <v>18</v>
      </c>
      <c r="G35" s="34">
        <v>7</v>
      </c>
      <c r="H35" s="35">
        <f t="shared" si="0"/>
        <v>25</v>
      </c>
      <c r="I35" s="36">
        <f t="shared" si="4"/>
        <v>11448</v>
      </c>
      <c r="J35" s="36">
        <f t="shared" si="5"/>
        <v>4452</v>
      </c>
      <c r="K35" s="36">
        <f t="shared" si="6"/>
        <v>15900</v>
      </c>
      <c r="L35" s="36">
        <f t="shared" si="7"/>
        <v>10901</v>
      </c>
      <c r="M35" s="37">
        <f t="shared" si="8"/>
        <v>545</v>
      </c>
      <c r="N35" s="36">
        <f t="shared" si="9"/>
        <v>4454</v>
      </c>
      <c r="O35" s="36">
        <f t="shared" si="13"/>
        <v>15900</v>
      </c>
      <c r="P35" s="37">
        <f t="shared" si="1"/>
        <v>1308</v>
      </c>
      <c r="Q35" s="37">
        <f t="shared" si="10"/>
        <v>200</v>
      </c>
      <c r="R35" s="37">
        <f t="shared" si="11"/>
        <v>119</v>
      </c>
      <c r="S35" s="37"/>
      <c r="T35" s="31"/>
      <c r="U35" s="38"/>
      <c r="V35" s="38"/>
      <c r="W35" s="31"/>
      <c r="X35" s="37">
        <f t="shared" si="2"/>
        <v>1627</v>
      </c>
      <c r="Y35" s="39">
        <f t="shared" si="3"/>
        <v>14273</v>
      </c>
      <c r="Z35" s="40">
        <v>500</v>
      </c>
      <c r="AA35" s="39">
        <f t="shared" si="12"/>
        <v>13773</v>
      </c>
    </row>
    <row r="36" spans="1:27">
      <c r="A36" s="28">
        <v>26</v>
      </c>
      <c r="B36" s="29">
        <v>101976571122</v>
      </c>
      <c r="C36" s="30">
        <v>3315689420</v>
      </c>
      <c r="D36" s="31" t="s">
        <v>54</v>
      </c>
      <c r="E36" s="32">
        <v>636</v>
      </c>
      <c r="F36" s="33">
        <v>13</v>
      </c>
      <c r="G36" s="34">
        <v>8</v>
      </c>
      <c r="H36" s="35">
        <f t="shared" si="0"/>
        <v>21</v>
      </c>
      <c r="I36" s="36">
        <f t="shared" si="4"/>
        <v>8268</v>
      </c>
      <c r="J36" s="36">
        <f t="shared" si="5"/>
        <v>5088</v>
      </c>
      <c r="K36" s="36">
        <f t="shared" si="6"/>
        <v>13356</v>
      </c>
      <c r="L36" s="36">
        <f t="shared" si="7"/>
        <v>7873</v>
      </c>
      <c r="M36" s="37">
        <f t="shared" si="8"/>
        <v>394</v>
      </c>
      <c r="N36" s="36">
        <f t="shared" si="9"/>
        <v>5089</v>
      </c>
      <c r="O36" s="36">
        <f t="shared" si="13"/>
        <v>13356</v>
      </c>
      <c r="P36" s="37">
        <f t="shared" si="1"/>
        <v>945</v>
      </c>
      <c r="Q36" s="37">
        <f t="shared" si="10"/>
        <v>200</v>
      </c>
      <c r="R36" s="37">
        <f t="shared" si="11"/>
        <v>100</v>
      </c>
      <c r="S36" s="37"/>
      <c r="T36" s="31"/>
      <c r="U36" s="38"/>
      <c r="V36" s="38"/>
      <c r="W36" s="31"/>
      <c r="X36" s="37">
        <f t="shared" si="2"/>
        <v>1245</v>
      </c>
      <c r="Y36" s="39">
        <f t="shared" si="3"/>
        <v>12111</v>
      </c>
      <c r="Z36" s="40">
        <v>500</v>
      </c>
      <c r="AA36" s="39">
        <f t="shared" si="12"/>
        <v>11611</v>
      </c>
    </row>
    <row r="37" spans="1:27">
      <c r="A37" s="28">
        <v>27</v>
      </c>
      <c r="B37" s="29">
        <v>102081665259</v>
      </c>
      <c r="C37" s="30">
        <v>3316492655</v>
      </c>
      <c r="D37" s="31" t="s">
        <v>55</v>
      </c>
      <c r="E37" s="32">
        <v>636</v>
      </c>
      <c r="F37" s="42">
        <v>11</v>
      </c>
      <c r="G37" s="34">
        <v>8</v>
      </c>
      <c r="H37" s="35">
        <f t="shared" si="0"/>
        <v>19</v>
      </c>
      <c r="I37" s="36">
        <f t="shared" si="4"/>
        <v>6996</v>
      </c>
      <c r="J37" s="36">
        <f t="shared" si="5"/>
        <v>5088</v>
      </c>
      <c r="K37" s="36">
        <f t="shared" si="6"/>
        <v>12084</v>
      </c>
      <c r="L37" s="36">
        <f t="shared" si="7"/>
        <v>6662</v>
      </c>
      <c r="M37" s="37">
        <f t="shared" si="8"/>
        <v>333</v>
      </c>
      <c r="N37" s="36">
        <f t="shared" si="9"/>
        <v>5089</v>
      </c>
      <c r="O37" s="36">
        <f t="shared" si="13"/>
        <v>12084</v>
      </c>
      <c r="P37" s="37">
        <f t="shared" si="1"/>
        <v>799</v>
      </c>
      <c r="Q37" s="37">
        <f t="shared" si="10"/>
        <v>200</v>
      </c>
      <c r="R37" s="37">
        <f t="shared" si="11"/>
        <v>91</v>
      </c>
      <c r="S37" s="37"/>
      <c r="T37" s="31"/>
      <c r="U37" s="38"/>
      <c r="V37" s="38"/>
      <c r="W37" s="31"/>
      <c r="X37" s="37">
        <f t="shared" si="2"/>
        <v>1090</v>
      </c>
      <c r="Y37" s="39">
        <f t="shared" si="3"/>
        <v>10994</v>
      </c>
      <c r="Z37" s="40">
        <v>500</v>
      </c>
      <c r="AA37" s="39">
        <f t="shared" si="12"/>
        <v>10494</v>
      </c>
    </row>
    <row r="38" spans="1:27">
      <c r="A38" s="28">
        <v>28</v>
      </c>
      <c r="B38" s="29">
        <v>101678665637</v>
      </c>
      <c r="C38" s="30">
        <v>3317510655</v>
      </c>
      <c r="D38" s="31" t="s">
        <v>56</v>
      </c>
      <c r="E38" s="32">
        <v>636</v>
      </c>
      <c r="F38" s="33">
        <v>11</v>
      </c>
      <c r="G38" s="34">
        <v>8</v>
      </c>
      <c r="H38" s="35">
        <f t="shared" si="0"/>
        <v>19</v>
      </c>
      <c r="I38" s="36">
        <f t="shared" si="4"/>
        <v>6996</v>
      </c>
      <c r="J38" s="36">
        <f t="shared" si="5"/>
        <v>5088</v>
      </c>
      <c r="K38" s="36">
        <f t="shared" si="6"/>
        <v>12084</v>
      </c>
      <c r="L38" s="36">
        <f t="shared" si="7"/>
        <v>6662</v>
      </c>
      <c r="M38" s="37">
        <f t="shared" si="8"/>
        <v>333</v>
      </c>
      <c r="N38" s="36">
        <f t="shared" si="9"/>
        <v>5089</v>
      </c>
      <c r="O38" s="36">
        <f t="shared" si="13"/>
        <v>12084</v>
      </c>
      <c r="P38" s="37">
        <f t="shared" si="1"/>
        <v>799</v>
      </c>
      <c r="Q38" s="37">
        <f t="shared" si="10"/>
        <v>200</v>
      </c>
      <c r="R38" s="37">
        <f t="shared" si="11"/>
        <v>91</v>
      </c>
      <c r="S38" s="37"/>
      <c r="T38" s="31"/>
      <c r="U38" s="38"/>
      <c r="V38" s="38"/>
      <c r="W38" s="31"/>
      <c r="X38" s="37">
        <f t="shared" si="2"/>
        <v>1090</v>
      </c>
      <c r="Y38" s="39">
        <f t="shared" si="3"/>
        <v>10994</v>
      </c>
      <c r="Z38" s="40">
        <v>500</v>
      </c>
      <c r="AA38" s="39">
        <f t="shared" si="12"/>
        <v>10494</v>
      </c>
    </row>
    <row r="39" spans="1:27">
      <c r="A39" s="28">
        <v>29</v>
      </c>
      <c r="B39" s="29">
        <v>100450352070</v>
      </c>
      <c r="C39" s="30">
        <v>3315397405</v>
      </c>
      <c r="D39" s="31" t="s">
        <v>57</v>
      </c>
      <c r="E39" s="32">
        <v>636</v>
      </c>
      <c r="F39" s="33">
        <v>18</v>
      </c>
      <c r="G39" s="34">
        <v>7</v>
      </c>
      <c r="H39" s="35">
        <f t="shared" si="0"/>
        <v>25</v>
      </c>
      <c r="I39" s="36">
        <f t="shared" si="4"/>
        <v>11448</v>
      </c>
      <c r="J39" s="36">
        <f t="shared" si="5"/>
        <v>4452</v>
      </c>
      <c r="K39" s="36">
        <f t="shared" si="6"/>
        <v>15900</v>
      </c>
      <c r="L39" s="36">
        <f t="shared" si="7"/>
        <v>10901</v>
      </c>
      <c r="M39" s="37">
        <f t="shared" si="8"/>
        <v>545</v>
      </c>
      <c r="N39" s="36">
        <f t="shared" si="9"/>
        <v>4454</v>
      </c>
      <c r="O39" s="36">
        <f t="shared" si="13"/>
        <v>15900</v>
      </c>
      <c r="P39" s="37">
        <f t="shared" si="1"/>
        <v>1308</v>
      </c>
      <c r="Q39" s="37">
        <f t="shared" si="10"/>
        <v>200</v>
      </c>
      <c r="R39" s="37">
        <f t="shared" si="11"/>
        <v>119</v>
      </c>
      <c r="S39" s="37"/>
      <c r="T39" s="31"/>
      <c r="U39" s="38"/>
      <c r="V39" s="38"/>
      <c r="W39" s="31"/>
      <c r="X39" s="37">
        <f t="shared" si="2"/>
        <v>1627</v>
      </c>
      <c r="Y39" s="39">
        <f t="shared" si="3"/>
        <v>14273</v>
      </c>
      <c r="Z39" s="40">
        <v>500</v>
      </c>
      <c r="AA39" s="39">
        <f t="shared" si="12"/>
        <v>13773</v>
      </c>
    </row>
    <row r="40" spans="1:27">
      <c r="A40" s="28">
        <v>30</v>
      </c>
      <c r="B40" s="29">
        <v>101826609019</v>
      </c>
      <c r="C40" s="30">
        <v>3314020788</v>
      </c>
      <c r="D40" s="31" t="s">
        <v>58</v>
      </c>
      <c r="E40" s="32">
        <v>636</v>
      </c>
      <c r="F40" s="33">
        <v>18</v>
      </c>
      <c r="G40" s="34">
        <v>7</v>
      </c>
      <c r="H40" s="35">
        <f t="shared" si="0"/>
        <v>25</v>
      </c>
      <c r="I40" s="36">
        <f t="shared" si="4"/>
        <v>11448</v>
      </c>
      <c r="J40" s="36">
        <f t="shared" si="5"/>
        <v>4452</v>
      </c>
      <c r="K40" s="36">
        <f t="shared" si="6"/>
        <v>15900</v>
      </c>
      <c r="L40" s="36">
        <f t="shared" si="7"/>
        <v>10901</v>
      </c>
      <c r="M40" s="37">
        <f t="shared" si="8"/>
        <v>545</v>
      </c>
      <c r="N40" s="36">
        <f t="shared" si="9"/>
        <v>4454</v>
      </c>
      <c r="O40" s="36">
        <f t="shared" si="13"/>
        <v>15900</v>
      </c>
      <c r="P40" s="37">
        <f t="shared" si="1"/>
        <v>1308</v>
      </c>
      <c r="Q40" s="37">
        <f t="shared" si="10"/>
        <v>200</v>
      </c>
      <c r="R40" s="37">
        <f t="shared" si="11"/>
        <v>119</v>
      </c>
      <c r="S40" s="37"/>
      <c r="T40" s="31"/>
      <c r="U40" s="38"/>
      <c r="V40" s="38"/>
      <c r="W40" s="31"/>
      <c r="X40" s="37">
        <f t="shared" si="2"/>
        <v>1627</v>
      </c>
      <c r="Y40" s="39">
        <f t="shared" si="3"/>
        <v>14273</v>
      </c>
      <c r="Z40" s="40">
        <v>500</v>
      </c>
      <c r="AA40" s="39">
        <f t="shared" si="12"/>
        <v>13773</v>
      </c>
    </row>
    <row r="41" spans="1:27">
      <c r="A41" s="28">
        <v>31</v>
      </c>
      <c r="B41" s="43">
        <v>102209140373</v>
      </c>
      <c r="C41" s="30">
        <v>3317686370</v>
      </c>
      <c r="D41" s="31" t="s">
        <v>59</v>
      </c>
      <c r="E41" s="32">
        <v>636</v>
      </c>
      <c r="F41" s="42">
        <v>17</v>
      </c>
      <c r="G41" s="34">
        <v>7</v>
      </c>
      <c r="H41" s="35">
        <f t="shared" si="0"/>
        <v>24</v>
      </c>
      <c r="I41" s="36">
        <f t="shared" si="4"/>
        <v>10812</v>
      </c>
      <c r="J41" s="36">
        <f t="shared" si="5"/>
        <v>4452</v>
      </c>
      <c r="K41" s="36">
        <f t="shared" si="6"/>
        <v>15264</v>
      </c>
      <c r="L41" s="36">
        <f t="shared" si="7"/>
        <v>10295</v>
      </c>
      <c r="M41" s="37">
        <f t="shared" si="8"/>
        <v>515</v>
      </c>
      <c r="N41" s="36">
        <f t="shared" si="9"/>
        <v>4454</v>
      </c>
      <c r="O41" s="36">
        <f t="shared" si="13"/>
        <v>15264</v>
      </c>
      <c r="P41" s="37">
        <f t="shared" si="1"/>
        <v>1235</v>
      </c>
      <c r="Q41" s="37">
        <f t="shared" si="10"/>
        <v>200</v>
      </c>
      <c r="R41" s="37">
        <f t="shared" si="11"/>
        <v>114</v>
      </c>
      <c r="S41" s="37"/>
      <c r="T41" s="31"/>
      <c r="U41" s="38"/>
      <c r="V41" s="38"/>
      <c r="W41" s="31"/>
      <c r="X41" s="37">
        <f t="shared" si="2"/>
        <v>1549</v>
      </c>
      <c r="Y41" s="39">
        <f t="shared" si="3"/>
        <v>13715</v>
      </c>
      <c r="Z41" s="40">
        <v>500</v>
      </c>
      <c r="AA41" s="39">
        <f t="shared" si="12"/>
        <v>13215</v>
      </c>
    </row>
    <row r="42" spans="1:27">
      <c r="A42" s="28">
        <v>32</v>
      </c>
      <c r="B42" s="29">
        <v>101969547233</v>
      </c>
      <c r="C42" s="30">
        <v>3315368099</v>
      </c>
      <c r="D42" s="31" t="s">
        <v>60</v>
      </c>
      <c r="E42" s="32">
        <v>636</v>
      </c>
      <c r="F42" s="33">
        <v>13</v>
      </c>
      <c r="G42" s="34">
        <v>8</v>
      </c>
      <c r="H42" s="35">
        <f t="shared" si="0"/>
        <v>21</v>
      </c>
      <c r="I42" s="36">
        <f t="shared" si="4"/>
        <v>8268</v>
      </c>
      <c r="J42" s="36">
        <f t="shared" si="5"/>
        <v>5088</v>
      </c>
      <c r="K42" s="36">
        <f t="shared" si="6"/>
        <v>13356</v>
      </c>
      <c r="L42" s="36">
        <f t="shared" si="7"/>
        <v>7873</v>
      </c>
      <c r="M42" s="37">
        <f t="shared" si="8"/>
        <v>394</v>
      </c>
      <c r="N42" s="36">
        <f t="shared" si="9"/>
        <v>5089</v>
      </c>
      <c r="O42" s="36">
        <f t="shared" si="13"/>
        <v>13356</v>
      </c>
      <c r="P42" s="37">
        <f t="shared" si="1"/>
        <v>945</v>
      </c>
      <c r="Q42" s="37">
        <f t="shared" si="10"/>
        <v>200</v>
      </c>
      <c r="R42" s="37">
        <f t="shared" si="11"/>
        <v>100</v>
      </c>
      <c r="S42" s="37"/>
      <c r="T42" s="31"/>
      <c r="U42" s="38"/>
      <c r="V42" s="38"/>
      <c r="W42" s="31"/>
      <c r="X42" s="37">
        <f t="shared" si="2"/>
        <v>1245</v>
      </c>
      <c r="Y42" s="39">
        <f t="shared" si="3"/>
        <v>12111</v>
      </c>
      <c r="Z42" s="40">
        <v>500</v>
      </c>
      <c r="AA42" s="39">
        <f t="shared" si="12"/>
        <v>11611</v>
      </c>
    </row>
    <row r="43" spans="1:27">
      <c r="A43" s="28">
        <v>33</v>
      </c>
      <c r="B43" s="43">
        <v>102245251075</v>
      </c>
      <c r="C43" s="44">
        <v>3317981416</v>
      </c>
      <c r="D43" s="31" t="s">
        <v>61</v>
      </c>
      <c r="E43" s="32">
        <v>636</v>
      </c>
      <c r="F43" s="33">
        <v>18</v>
      </c>
      <c r="G43" s="34">
        <v>7</v>
      </c>
      <c r="H43" s="35">
        <f t="shared" si="0"/>
        <v>25</v>
      </c>
      <c r="I43" s="36">
        <f t="shared" si="4"/>
        <v>11448</v>
      </c>
      <c r="J43" s="36">
        <f t="shared" si="5"/>
        <v>4452</v>
      </c>
      <c r="K43" s="36">
        <f t="shared" si="6"/>
        <v>15900</v>
      </c>
      <c r="L43" s="36">
        <f t="shared" si="7"/>
        <v>10901</v>
      </c>
      <c r="M43" s="37">
        <f t="shared" si="8"/>
        <v>545</v>
      </c>
      <c r="N43" s="36">
        <f t="shared" si="9"/>
        <v>4454</v>
      </c>
      <c r="O43" s="36">
        <f t="shared" si="13"/>
        <v>15900</v>
      </c>
      <c r="P43" s="37">
        <f t="shared" si="1"/>
        <v>1308</v>
      </c>
      <c r="Q43" s="37">
        <f t="shared" si="10"/>
        <v>200</v>
      </c>
      <c r="R43" s="37">
        <f t="shared" si="11"/>
        <v>119</v>
      </c>
      <c r="S43" s="37"/>
      <c r="T43" s="31"/>
      <c r="U43" s="38"/>
      <c r="V43" s="38"/>
      <c r="W43" s="31"/>
      <c r="X43" s="37">
        <f t="shared" si="2"/>
        <v>1627</v>
      </c>
      <c r="Y43" s="39">
        <f t="shared" si="3"/>
        <v>14273</v>
      </c>
      <c r="Z43" s="40">
        <v>500</v>
      </c>
      <c r="AA43" s="39">
        <f t="shared" si="12"/>
        <v>13773</v>
      </c>
    </row>
    <row r="44" spans="1:27">
      <c r="A44" s="28">
        <v>34</v>
      </c>
      <c r="B44" s="29">
        <v>102190249257</v>
      </c>
      <c r="C44" s="30">
        <v>3317510361</v>
      </c>
      <c r="D44" s="31" t="s">
        <v>62</v>
      </c>
      <c r="E44" s="32">
        <v>636</v>
      </c>
      <c r="F44" s="33">
        <v>14</v>
      </c>
      <c r="G44" s="34">
        <v>8</v>
      </c>
      <c r="H44" s="35">
        <f t="shared" si="0"/>
        <v>22</v>
      </c>
      <c r="I44" s="36">
        <f t="shared" si="4"/>
        <v>8904</v>
      </c>
      <c r="J44" s="36">
        <f t="shared" si="5"/>
        <v>5088</v>
      </c>
      <c r="K44" s="36">
        <f t="shared" si="6"/>
        <v>13992</v>
      </c>
      <c r="L44" s="36">
        <f t="shared" si="7"/>
        <v>8479</v>
      </c>
      <c r="M44" s="37">
        <f t="shared" si="8"/>
        <v>424</v>
      </c>
      <c r="N44" s="36">
        <f t="shared" si="9"/>
        <v>5089</v>
      </c>
      <c r="O44" s="36">
        <f t="shared" si="13"/>
        <v>13992</v>
      </c>
      <c r="P44" s="37">
        <f t="shared" si="1"/>
        <v>1017</v>
      </c>
      <c r="Q44" s="37">
        <f t="shared" si="10"/>
        <v>200</v>
      </c>
      <c r="R44" s="37">
        <f t="shared" si="11"/>
        <v>105</v>
      </c>
      <c r="S44" s="37"/>
      <c r="T44" s="31"/>
      <c r="U44" s="38"/>
      <c r="V44" s="38"/>
      <c r="W44" s="31"/>
      <c r="X44" s="37">
        <f t="shared" si="2"/>
        <v>1322</v>
      </c>
      <c r="Y44" s="39">
        <f t="shared" si="3"/>
        <v>12670</v>
      </c>
      <c r="Z44" s="40">
        <v>500</v>
      </c>
      <c r="AA44" s="39">
        <f t="shared" si="12"/>
        <v>12170</v>
      </c>
    </row>
    <row r="45" spans="1:27">
      <c r="A45" s="28">
        <v>35</v>
      </c>
      <c r="B45" s="43">
        <v>101216844424</v>
      </c>
      <c r="C45" s="44">
        <v>3317732124</v>
      </c>
      <c r="D45" s="31" t="s">
        <v>63</v>
      </c>
      <c r="E45" s="32">
        <v>636</v>
      </c>
      <c r="F45" s="33">
        <v>9</v>
      </c>
      <c r="G45" s="34">
        <v>6</v>
      </c>
      <c r="H45" s="35">
        <f t="shared" si="0"/>
        <v>15</v>
      </c>
      <c r="I45" s="36">
        <f t="shared" si="4"/>
        <v>5724</v>
      </c>
      <c r="J45" s="36">
        <f t="shared" si="5"/>
        <v>3816</v>
      </c>
      <c r="K45" s="36">
        <f t="shared" si="6"/>
        <v>9540</v>
      </c>
      <c r="L45" s="36">
        <f t="shared" si="7"/>
        <v>5451</v>
      </c>
      <c r="M45" s="37">
        <f t="shared" si="8"/>
        <v>273</v>
      </c>
      <c r="N45" s="36">
        <f t="shared" si="9"/>
        <v>3816</v>
      </c>
      <c r="O45" s="36">
        <f t="shared" si="13"/>
        <v>9540</v>
      </c>
      <c r="P45" s="37">
        <f t="shared" si="1"/>
        <v>654</v>
      </c>
      <c r="Q45" s="37">
        <f t="shared" si="10"/>
        <v>175</v>
      </c>
      <c r="R45" s="37">
        <f t="shared" si="11"/>
        <v>72</v>
      </c>
      <c r="S45" s="37"/>
      <c r="T45" s="31"/>
      <c r="U45" s="38"/>
      <c r="V45" s="38"/>
      <c r="W45" s="31"/>
      <c r="X45" s="37">
        <f t="shared" si="2"/>
        <v>901</v>
      </c>
      <c r="Y45" s="39">
        <f t="shared" si="3"/>
        <v>8639</v>
      </c>
      <c r="Z45" s="40">
        <v>500</v>
      </c>
      <c r="AA45" s="39">
        <f t="shared" si="12"/>
        <v>8139</v>
      </c>
    </row>
    <row r="46" spans="1:27">
      <c r="A46" s="28">
        <v>36</v>
      </c>
      <c r="B46" s="43">
        <v>101958132802</v>
      </c>
      <c r="C46" s="30">
        <v>3317906212</v>
      </c>
      <c r="D46" s="31" t="s">
        <v>64</v>
      </c>
      <c r="E46" s="32">
        <v>636</v>
      </c>
      <c r="F46" s="42">
        <v>14</v>
      </c>
      <c r="G46" s="34">
        <v>8</v>
      </c>
      <c r="H46" s="35">
        <f t="shared" si="0"/>
        <v>22</v>
      </c>
      <c r="I46" s="36">
        <f t="shared" si="4"/>
        <v>8904</v>
      </c>
      <c r="J46" s="36">
        <f t="shared" si="5"/>
        <v>5088</v>
      </c>
      <c r="K46" s="36">
        <f t="shared" si="6"/>
        <v>13992</v>
      </c>
      <c r="L46" s="36">
        <f t="shared" si="7"/>
        <v>8479</v>
      </c>
      <c r="M46" s="37">
        <f t="shared" si="8"/>
        <v>424</v>
      </c>
      <c r="N46" s="36">
        <f t="shared" si="9"/>
        <v>5089</v>
      </c>
      <c r="O46" s="36">
        <f t="shared" si="13"/>
        <v>13992</v>
      </c>
      <c r="P46" s="37">
        <f t="shared" si="1"/>
        <v>1017</v>
      </c>
      <c r="Q46" s="37">
        <f t="shared" si="10"/>
        <v>200</v>
      </c>
      <c r="R46" s="37">
        <f t="shared" si="11"/>
        <v>105</v>
      </c>
      <c r="S46" s="37"/>
      <c r="T46" s="31"/>
      <c r="U46" s="38"/>
      <c r="V46" s="38"/>
      <c r="W46" s="31"/>
      <c r="X46" s="37">
        <f t="shared" si="2"/>
        <v>1322</v>
      </c>
      <c r="Y46" s="39">
        <f t="shared" si="3"/>
        <v>12670</v>
      </c>
      <c r="Z46" s="40">
        <v>500</v>
      </c>
      <c r="AA46" s="39">
        <f t="shared" si="12"/>
        <v>12170</v>
      </c>
    </row>
    <row r="47" spans="1:27">
      <c r="A47" s="28">
        <v>37</v>
      </c>
      <c r="B47" s="43">
        <v>102053057864</v>
      </c>
      <c r="C47" s="30">
        <v>3317629009</v>
      </c>
      <c r="D47" s="31" t="s">
        <v>65</v>
      </c>
      <c r="E47" s="32">
        <v>636</v>
      </c>
      <c r="F47" s="42">
        <v>11</v>
      </c>
      <c r="G47" s="34">
        <v>8</v>
      </c>
      <c r="H47" s="35">
        <f t="shared" si="0"/>
        <v>19</v>
      </c>
      <c r="I47" s="36">
        <f t="shared" si="4"/>
        <v>6996</v>
      </c>
      <c r="J47" s="36">
        <f t="shared" si="5"/>
        <v>5088</v>
      </c>
      <c r="K47" s="36">
        <f t="shared" si="6"/>
        <v>12084</v>
      </c>
      <c r="L47" s="36">
        <f t="shared" si="7"/>
        <v>6662</v>
      </c>
      <c r="M47" s="37">
        <f t="shared" si="8"/>
        <v>333</v>
      </c>
      <c r="N47" s="36">
        <f t="shared" si="9"/>
        <v>5089</v>
      </c>
      <c r="O47" s="36">
        <f t="shared" si="13"/>
        <v>12084</v>
      </c>
      <c r="P47" s="37">
        <f t="shared" si="1"/>
        <v>799</v>
      </c>
      <c r="Q47" s="37">
        <f t="shared" si="10"/>
        <v>200</v>
      </c>
      <c r="R47" s="37">
        <f t="shared" si="11"/>
        <v>91</v>
      </c>
      <c r="S47" s="37"/>
      <c r="T47" s="31"/>
      <c r="U47" s="38"/>
      <c r="V47" s="38"/>
      <c r="W47" s="31"/>
      <c r="X47" s="37">
        <f t="shared" si="2"/>
        <v>1090</v>
      </c>
      <c r="Y47" s="39">
        <f t="shared" si="3"/>
        <v>10994</v>
      </c>
      <c r="Z47" s="40">
        <v>500</v>
      </c>
      <c r="AA47" s="39">
        <f t="shared" si="12"/>
        <v>10494</v>
      </c>
    </row>
    <row r="48" spans="1:27">
      <c r="A48" s="28">
        <v>38</v>
      </c>
      <c r="B48" s="29">
        <v>101603294918</v>
      </c>
      <c r="C48" s="30">
        <v>3312027406</v>
      </c>
      <c r="D48" s="31" t="s">
        <v>66</v>
      </c>
      <c r="E48" s="32">
        <v>636</v>
      </c>
      <c r="F48" s="33">
        <v>17</v>
      </c>
      <c r="G48" s="34">
        <v>7</v>
      </c>
      <c r="H48" s="35">
        <f t="shared" si="0"/>
        <v>24</v>
      </c>
      <c r="I48" s="36">
        <f t="shared" si="4"/>
        <v>10812</v>
      </c>
      <c r="J48" s="36">
        <f t="shared" si="5"/>
        <v>4452</v>
      </c>
      <c r="K48" s="36">
        <f t="shared" si="6"/>
        <v>15264</v>
      </c>
      <c r="L48" s="36">
        <f t="shared" si="7"/>
        <v>10295</v>
      </c>
      <c r="M48" s="37">
        <f t="shared" si="8"/>
        <v>515</v>
      </c>
      <c r="N48" s="36">
        <f t="shared" si="9"/>
        <v>4454</v>
      </c>
      <c r="O48" s="36">
        <f t="shared" si="13"/>
        <v>15264</v>
      </c>
      <c r="P48" s="37">
        <f t="shared" si="1"/>
        <v>1235</v>
      </c>
      <c r="Q48" s="37">
        <f t="shared" si="10"/>
        <v>200</v>
      </c>
      <c r="R48" s="37">
        <f t="shared" si="11"/>
        <v>114</v>
      </c>
      <c r="S48" s="37"/>
      <c r="T48" s="31"/>
      <c r="U48" s="38"/>
      <c r="V48" s="38"/>
      <c r="W48" s="31"/>
      <c r="X48" s="37">
        <f t="shared" si="2"/>
        <v>1549</v>
      </c>
      <c r="Y48" s="39">
        <f t="shared" si="3"/>
        <v>13715</v>
      </c>
      <c r="Z48" s="40">
        <v>500</v>
      </c>
      <c r="AA48" s="39">
        <f t="shared" si="12"/>
        <v>13215</v>
      </c>
    </row>
    <row r="49" spans="1:27" s="20" customFormat="1">
      <c r="A49" s="28">
        <v>39</v>
      </c>
      <c r="B49" s="29">
        <v>101520450548</v>
      </c>
      <c r="C49" s="30">
        <v>3311362160</v>
      </c>
      <c r="D49" s="31" t="s">
        <v>67</v>
      </c>
      <c r="E49" s="32">
        <v>636</v>
      </c>
      <c r="F49" s="33">
        <v>18</v>
      </c>
      <c r="G49" s="34">
        <v>7</v>
      </c>
      <c r="H49" s="35">
        <f t="shared" si="0"/>
        <v>25</v>
      </c>
      <c r="I49" s="36">
        <f t="shared" si="4"/>
        <v>11448</v>
      </c>
      <c r="J49" s="36">
        <f t="shared" si="5"/>
        <v>4452</v>
      </c>
      <c r="K49" s="36">
        <f t="shared" si="6"/>
        <v>15900</v>
      </c>
      <c r="L49" s="36">
        <f t="shared" si="7"/>
        <v>10901</v>
      </c>
      <c r="M49" s="37">
        <f t="shared" si="8"/>
        <v>545</v>
      </c>
      <c r="N49" s="36">
        <f t="shared" si="9"/>
        <v>4454</v>
      </c>
      <c r="O49" s="36">
        <f t="shared" si="13"/>
        <v>15900</v>
      </c>
      <c r="P49" s="37">
        <f t="shared" si="1"/>
        <v>1308</v>
      </c>
      <c r="Q49" s="37">
        <f t="shared" si="10"/>
        <v>200</v>
      </c>
      <c r="R49" s="37">
        <f t="shared" si="11"/>
        <v>119</v>
      </c>
      <c r="S49" s="37"/>
      <c r="T49" s="31"/>
      <c r="U49" s="38"/>
      <c r="V49" s="38"/>
      <c r="W49" s="31"/>
      <c r="X49" s="37">
        <f t="shared" si="2"/>
        <v>1627</v>
      </c>
      <c r="Y49" s="39">
        <f t="shared" si="3"/>
        <v>14273</v>
      </c>
      <c r="Z49" s="40">
        <v>500</v>
      </c>
      <c r="AA49" s="39">
        <f t="shared" si="12"/>
        <v>13773</v>
      </c>
    </row>
    <row r="50" spans="1:27">
      <c r="A50" s="28">
        <v>40</v>
      </c>
      <c r="B50" s="29">
        <v>101818174092</v>
      </c>
      <c r="C50" s="30">
        <v>3313938725</v>
      </c>
      <c r="D50" s="31" t="s">
        <v>68</v>
      </c>
      <c r="E50" s="32">
        <v>636</v>
      </c>
      <c r="F50" s="42">
        <v>17</v>
      </c>
      <c r="G50" s="34">
        <v>7</v>
      </c>
      <c r="H50" s="35">
        <f t="shared" si="0"/>
        <v>24</v>
      </c>
      <c r="I50" s="36">
        <f t="shared" si="4"/>
        <v>10812</v>
      </c>
      <c r="J50" s="36">
        <f t="shared" si="5"/>
        <v>4452</v>
      </c>
      <c r="K50" s="36">
        <f t="shared" si="6"/>
        <v>15264</v>
      </c>
      <c r="L50" s="36">
        <f t="shared" si="7"/>
        <v>10295</v>
      </c>
      <c r="M50" s="37">
        <f t="shared" si="8"/>
        <v>515</v>
      </c>
      <c r="N50" s="36">
        <f t="shared" si="9"/>
        <v>4454</v>
      </c>
      <c r="O50" s="36">
        <f t="shared" si="13"/>
        <v>15264</v>
      </c>
      <c r="P50" s="37">
        <f t="shared" si="1"/>
        <v>1235</v>
      </c>
      <c r="Q50" s="37">
        <f t="shared" si="10"/>
        <v>200</v>
      </c>
      <c r="R50" s="37">
        <f t="shared" si="11"/>
        <v>114</v>
      </c>
      <c r="S50" s="37"/>
      <c r="T50" s="31"/>
      <c r="U50" s="38"/>
      <c r="V50" s="38"/>
      <c r="W50" s="31"/>
      <c r="X50" s="37">
        <f t="shared" si="2"/>
        <v>1549</v>
      </c>
      <c r="Y50" s="39">
        <f t="shared" si="3"/>
        <v>13715</v>
      </c>
      <c r="Z50" s="40">
        <v>500</v>
      </c>
      <c r="AA50" s="39">
        <f t="shared" si="12"/>
        <v>13215</v>
      </c>
    </row>
    <row r="51" spans="1:27">
      <c r="A51" s="28">
        <v>41</v>
      </c>
      <c r="B51" s="29">
        <v>101373078654</v>
      </c>
      <c r="C51" s="30">
        <v>3311531000</v>
      </c>
      <c r="D51" s="31" t="s">
        <v>69</v>
      </c>
      <c r="E51" s="32">
        <v>636</v>
      </c>
      <c r="F51" s="33">
        <v>18</v>
      </c>
      <c r="G51" s="34">
        <v>7</v>
      </c>
      <c r="H51" s="35">
        <f t="shared" si="0"/>
        <v>25</v>
      </c>
      <c r="I51" s="36">
        <f t="shared" si="4"/>
        <v>11448</v>
      </c>
      <c r="J51" s="36">
        <f t="shared" si="5"/>
        <v>4452</v>
      </c>
      <c r="K51" s="36">
        <f t="shared" si="6"/>
        <v>15900</v>
      </c>
      <c r="L51" s="36">
        <f t="shared" si="7"/>
        <v>10901</v>
      </c>
      <c r="M51" s="37">
        <f t="shared" si="8"/>
        <v>545</v>
      </c>
      <c r="N51" s="36">
        <f t="shared" si="9"/>
        <v>4454</v>
      </c>
      <c r="O51" s="36">
        <f t="shared" si="13"/>
        <v>15900</v>
      </c>
      <c r="P51" s="37">
        <f t="shared" si="1"/>
        <v>1308</v>
      </c>
      <c r="Q51" s="37">
        <f t="shared" si="10"/>
        <v>200</v>
      </c>
      <c r="R51" s="37">
        <f t="shared" si="11"/>
        <v>119</v>
      </c>
      <c r="S51" s="37"/>
      <c r="T51" s="31"/>
      <c r="U51" s="38"/>
      <c r="V51" s="38"/>
      <c r="W51" s="31"/>
      <c r="X51" s="37">
        <f t="shared" si="2"/>
        <v>1627</v>
      </c>
      <c r="Y51" s="39">
        <f t="shared" si="3"/>
        <v>14273</v>
      </c>
      <c r="Z51" s="40">
        <v>500</v>
      </c>
      <c r="AA51" s="39">
        <f t="shared" si="12"/>
        <v>13773</v>
      </c>
    </row>
    <row r="52" spans="1:27">
      <c r="A52" s="28">
        <v>42</v>
      </c>
      <c r="B52" s="29">
        <v>102086533444</v>
      </c>
      <c r="C52" s="30">
        <v>3316550718</v>
      </c>
      <c r="D52" s="31" t="s">
        <v>70</v>
      </c>
      <c r="E52" s="32">
        <v>636</v>
      </c>
      <c r="F52" s="33">
        <v>11</v>
      </c>
      <c r="G52" s="34">
        <v>8</v>
      </c>
      <c r="H52" s="35">
        <f t="shared" si="0"/>
        <v>19</v>
      </c>
      <c r="I52" s="36">
        <f t="shared" si="4"/>
        <v>6996</v>
      </c>
      <c r="J52" s="36">
        <f t="shared" si="5"/>
        <v>5088</v>
      </c>
      <c r="K52" s="36">
        <f t="shared" si="6"/>
        <v>12084</v>
      </c>
      <c r="L52" s="36">
        <f t="shared" si="7"/>
        <v>6662</v>
      </c>
      <c r="M52" s="37">
        <f t="shared" si="8"/>
        <v>333</v>
      </c>
      <c r="N52" s="36">
        <f t="shared" si="9"/>
        <v>5089</v>
      </c>
      <c r="O52" s="36">
        <f t="shared" si="13"/>
        <v>12084</v>
      </c>
      <c r="P52" s="37">
        <f t="shared" si="1"/>
        <v>799</v>
      </c>
      <c r="Q52" s="37">
        <f t="shared" si="10"/>
        <v>200</v>
      </c>
      <c r="R52" s="37">
        <f t="shared" si="11"/>
        <v>91</v>
      </c>
      <c r="S52" s="37"/>
      <c r="T52" s="31"/>
      <c r="U52" s="38"/>
      <c r="V52" s="38"/>
      <c r="W52" s="31"/>
      <c r="X52" s="37">
        <f t="shared" si="2"/>
        <v>1090</v>
      </c>
      <c r="Y52" s="39">
        <f t="shared" si="3"/>
        <v>10994</v>
      </c>
      <c r="Z52" s="40">
        <v>500</v>
      </c>
      <c r="AA52" s="39">
        <f t="shared" si="12"/>
        <v>10494</v>
      </c>
    </row>
    <row r="53" spans="1:27">
      <c r="A53" s="28">
        <v>43</v>
      </c>
      <c r="B53" s="29">
        <v>102120964651</v>
      </c>
      <c r="C53" s="30">
        <v>3316853397</v>
      </c>
      <c r="D53" s="31" t="s">
        <v>71</v>
      </c>
      <c r="E53" s="32">
        <v>636</v>
      </c>
      <c r="F53" s="33">
        <v>18</v>
      </c>
      <c r="G53" s="34">
        <v>7</v>
      </c>
      <c r="H53" s="35">
        <f t="shared" si="0"/>
        <v>25</v>
      </c>
      <c r="I53" s="36">
        <f t="shared" si="4"/>
        <v>11448</v>
      </c>
      <c r="J53" s="36">
        <f t="shared" si="5"/>
        <v>4452</v>
      </c>
      <c r="K53" s="36">
        <f t="shared" si="6"/>
        <v>15900</v>
      </c>
      <c r="L53" s="36">
        <f t="shared" si="7"/>
        <v>10901</v>
      </c>
      <c r="M53" s="37">
        <f t="shared" si="8"/>
        <v>545</v>
      </c>
      <c r="N53" s="36">
        <f t="shared" si="9"/>
        <v>4454</v>
      </c>
      <c r="O53" s="36">
        <f t="shared" si="13"/>
        <v>15900</v>
      </c>
      <c r="P53" s="37">
        <f t="shared" si="1"/>
        <v>1308</v>
      </c>
      <c r="Q53" s="37">
        <f t="shared" si="10"/>
        <v>200</v>
      </c>
      <c r="R53" s="37">
        <f t="shared" si="11"/>
        <v>119</v>
      </c>
      <c r="S53" s="37"/>
      <c r="T53" s="31"/>
      <c r="U53" s="38"/>
      <c r="V53" s="38"/>
      <c r="W53" s="31"/>
      <c r="X53" s="37">
        <f t="shared" si="2"/>
        <v>1627</v>
      </c>
      <c r="Y53" s="39">
        <f t="shared" si="3"/>
        <v>14273</v>
      </c>
      <c r="Z53" s="40">
        <v>500</v>
      </c>
      <c r="AA53" s="39">
        <f t="shared" si="12"/>
        <v>13773</v>
      </c>
    </row>
    <row r="54" spans="1:27">
      <c r="A54" s="28">
        <v>44</v>
      </c>
      <c r="B54" s="29">
        <v>101428896909</v>
      </c>
      <c r="C54" s="30">
        <v>3315285176</v>
      </c>
      <c r="D54" s="31" t="s">
        <v>72</v>
      </c>
      <c r="E54" s="32">
        <v>636</v>
      </c>
      <c r="F54" s="33">
        <v>13</v>
      </c>
      <c r="G54" s="34">
        <v>8</v>
      </c>
      <c r="H54" s="35">
        <f t="shared" si="0"/>
        <v>21</v>
      </c>
      <c r="I54" s="36">
        <f t="shared" si="4"/>
        <v>8268</v>
      </c>
      <c r="J54" s="36">
        <f t="shared" si="5"/>
        <v>5088</v>
      </c>
      <c r="K54" s="36">
        <f t="shared" si="6"/>
        <v>13356</v>
      </c>
      <c r="L54" s="36">
        <f t="shared" si="7"/>
        <v>7873</v>
      </c>
      <c r="M54" s="37">
        <f t="shared" si="8"/>
        <v>394</v>
      </c>
      <c r="N54" s="36">
        <f t="shared" si="9"/>
        <v>5089</v>
      </c>
      <c r="O54" s="36">
        <f t="shared" si="13"/>
        <v>13356</v>
      </c>
      <c r="P54" s="37">
        <f t="shared" si="1"/>
        <v>945</v>
      </c>
      <c r="Q54" s="37">
        <f t="shared" si="10"/>
        <v>200</v>
      </c>
      <c r="R54" s="37">
        <f t="shared" si="11"/>
        <v>100</v>
      </c>
      <c r="S54" s="37"/>
      <c r="T54" s="31"/>
      <c r="U54" s="38"/>
      <c r="V54" s="38"/>
      <c r="W54" s="31"/>
      <c r="X54" s="37">
        <f t="shared" si="2"/>
        <v>1245</v>
      </c>
      <c r="Y54" s="39">
        <f t="shared" si="3"/>
        <v>12111</v>
      </c>
      <c r="Z54" s="40">
        <v>500</v>
      </c>
      <c r="AA54" s="39">
        <f t="shared" si="12"/>
        <v>11611</v>
      </c>
    </row>
    <row r="55" spans="1:27" s="20" customFormat="1">
      <c r="A55" s="28">
        <v>45</v>
      </c>
      <c r="B55" s="43">
        <v>102032852951</v>
      </c>
      <c r="C55" s="30">
        <v>3317057005</v>
      </c>
      <c r="D55" s="31" t="s">
        <v>73</v>
      </c>
      <c r="E55" s="32">
        <v>636</v>
      </c>
      <c r="F55" s="42">
        <v>17</v>
      </c>
      <c r="G55" s="34">
        <v>7</v>
      </c>
      <c r="H55" s="35">
        <f t="shared" si="0"/>
        <v>24</v>
      </c>
      <c r="I55" s="36">
        <f t="shared" si="4"/>
        <v>10812</v>
      </c>
      <c r="J55" s="36">
        <f t="shared" si="5"/>
        <v>4452</v>
      </c>
      <c r="K55" s="36">
        <f t="shared" si="6"/>
        <v>15264</v>
      </c>
      <c r="L55" s="36">
        <f t="shared" si="7"/>
        <v>10295</v>
      </c>
      <c r="M55" s="37">
        <f t="shared" si="8"/>
        <v>515</v>
      </c>
      <c r="N55" s="36">
        <f t="shared" si="9"/>
        <v>4454</v>
      </c>
      <c r="O55" s="36">
        <f t="shared" si="13"/>
        <v>15264</v>
      </c>
      <c r="P55" s="37">
        <f t="shared" si="1"/>
        <v>1235</v>
      </c>
      <c r="Q55" s="37">
        <f t="shared" si="10"/>
        <v>200</v>
      </c>
      <c r="R55" s="37">
        <f t="shared" si="11"/>
        <v>114</v>
      </c>
      <c r="S55" s="37"/>
      <c r="T55" s="31"/>
      <c r="U55" s="38"/>
      <c r="V55" s="38"/>
      <c r="W55" s="31"/>
      <c r="X55" s="37">
        <f t="shared" si="2"/>
        <v>1549</v>
      </c>
      <c r="Y55" s="39">
        <f t="shared" si="3"/>
        <v>13715</v>
      </c>
      <c r="Z55" s="40">
        <v>500</v>
      </c>
      <c r="AA55" s="39">
        <f t="shared" si="12"/>
        <v>13215</v>
      </c>
    </row>
    <row r="56" spans="1:27" s="20" customFormat="1">
      <c r="A56" s="28">
        <v>46</v>
      </c>
      <c r="B56" s="29">
        <v>101951607397</v>
      </c>
      <c r="C56" s="30">
        <v>3315199534</v>
      </c>
      <c r="D56" s="31" t="s">
        <v>74</v>
      </c>
      <c r="E56" s="32">
        <v>636</v>
      </c>
      <c r="F56" s="33">
        <v>13</v>
      </c>
      <c r="G56" s="34">
        <v>8</v>
      </c>
      <c r="H56" s="35">
        <f t="shared" si="0"/>
        <v>21</v>
      </c>
      <c r="I56" s="36">
        <f t="shared" si="4"/>
        <v>8268</v>
      </c>
      <c r="J56" s="36">
        <f t="shared" si="5"/>
        <v>5088</v>
      </c>
      <c r="K56" s="36">
        <f t="shared" si="6"/>
        <v>13356</v>
      </c>
      <c r="L56" s="36">
        <f t="shared" si="7"/>
        <v>7873</v>
      </c>
      <c r="M56" s="37">
        <f t="shared" si="8"/>
        <v>394</v>
      </c>
      <c r="N56" s="36">
        <f t="shared" si="9"/>
        <v>5089</v>
      </c>
      <c r="O56" s="36">
        <f t="shared" si="13"/>
        <v>13356</v>
      </c>
      <c r="P56" s="37">
        <f t="shared" si="1"/>
        <v>945</v>
      </c>
      <c r="Q56" s="37">
        <f t="shared" si="10"/>
        <v>200</v>
      </c>
      <c r="R56" s="37">
        <f t="shared" si="11"/>
        <v>100</v>
      </c>
      <c r="S56" s="37"/>
      <c r="T56" s="31"/>
      <c r="U56" s="38"/>
      <c r="V56" s="38"/>
      <c r="W56" s="31"/>
      <c r="X56" s="37">
        <f t="shared" si="2"/>
        <v>1245</v>
      </c>
      <c r="Y56" s="39">
        <f t="shared" si="3"/>
        <v>12111</v>
      </c>
      <c r="Z56" s="40">
        <v>500</v>
      </c>
      <c r="AA56" s="39">
        <f t="shared" si="12"/>
        <v>11611</v>
      </c>
    </row>
    <row r="57" spans="1:27" s="20" customFormat="1">
      <c r="A57" s="28">
        <v>47</v>
      </c>
      <c r="B57" s="29">
        <v>102090872186</v>
      </c>
      <c r="C57" s="30">
        <v>3316481452</v>
      </c>
      <c r="D57" s="31" t="s">
        <v>75</v>
      </c>
      <c r="E57" s="32">
        <v>636</v>
      </c>
      <c r="F57" s="33">
        <v>18</v>
      </c>
      <c r="G57" s="34">
        <v>7</v>
      </c>
      <c r="H57" s="35">
        <f t="shared" si="0"/>
        <v>25</v>
      </c>
      <c r="I57" s="36">
        <f t="shared" si="4"/>
        <v>11448</v>
      </c>
      <c r="J57" s="36">
        <f t="shared" si="5"/>
        <v>4452</v>
      </c>
      <c r="K57" s="36">
        <f t="shared" si="6"/>
        <v>15900</v>
      </c>
      <c r="L57" s="36">
        <f t="shared" si="7"/>
        <v>10901</v>
      </c>
      <c r="M57" s="37">
        <f t="shared" si="8"/>
        <v>545</v>
      </c>
      <c r="N57" s="36">
        <f t="shared" si="9"/>
        <v>4454</v>
      </c>
      <c r="O57" s="36">
        <f t="shared" si="13"/>
        <v>15900</v>
      </c>
      <c r="P57" s="37">
        <f t="shared" si="1"/>
        <v>1308</v>
      </c>
      <c r="Q57" s="37">
        <f t="shared" si="10"/>
        <v>200</v>
      </c>
      <c r="R57" s="37">
        <f t="shared" si="11"/>
        <v>119</v>
      </c>
      <c r="S57" s="37"/>
      <c r="T57" s="31"/>
      <c r="U57" s="38"/>
      <c r="V57" s="38"/>
      <c r="W57" s="31"/>
      <c r="X57" s="37">
        <f t="shared" si="2"/>
        <v>1627</v>
      </c>
      <c r="Y57" s="39">
        <f t="shared" si="3"/>
        <v>14273</v>
      </c>
      <c r="Z57" s="40">
        <v>500</v>
      </c>
      <c r="AA57" s="39">
        <f t="shared" si="12"/>
        <v>13773</v>
      </c>
    </row>
    <row r="58" spans="1:27" s="20" customFormat="1">
      <c r="A58" s="28">
        <v>48</v>
      </c>
      <c r="B58" s="29">
        <v>101522138160</v>
      </c>
      <c r="C58" s="30">
        <v>3311953721</v>
      </c>
      <c r="D58" s="31" t="s">
        <v>76</v>
      </c>
      <c r="E58" s="32">
        <v>636</v>
      </c>
      <c r="F58" s="33">
        <v>11</v>
      </c>
      <c r="G58" s="34">
        <v>8</v>
      </c>
      <c r="H58" s="35">
        <f t="shared" si="0"/>
        <v>19</v>
      </c>
      <c r="I58" s="36">
        <f t="shared" si="4"/>
        <v>6996</v>
      </c>
      <c r="J58" s="36">
        <f t="shared" si="5"/>
        <v>5088</v>
      </c>
      <c r="K58" s="36">
        <f t="shared" si="6"/>
        <v>12084</v>
      </c>
      <c r="L58" s="36">
        <f t="shared" si="7"/>
        <v>6662</v>
      </c>
      <c r="M58" s="37">
        <f t="shared" si="8"/>
        <v>333</v>
      </c>
      <c r="N58" s="36">
        <f t="shared" si="9"/>
        <v>5089</v>
      </c>
      <c r="O58" s="36">
        <f t="shared" si="13"/>
        <v>12084</v>
      </c>
      <c r="P58" s="37">
        <f t="shared" si="1"/>
        <v>799</v>
      </c>
      <c r="Q58" s="37">
        <f t="shared" si="10"/>
        <v>200</v>
      </c>
      <c r="R58" s="37">
        <f t="shared" si="11"/>
        <v>91</v>
      </c>
      <c r="S58" s="37"/>
      <c r="T58" s="31"/>
      <c r="U58" s="38"/>
      <c r="V58" s="38"/>
      <c r="W58" s="31"/>
      <c r="X58" s="37">
        <f t="shared" si="2"/>
        <v>1090</v>
      </c>
      <c r="Y58" s="39">
        <f t="shared" si="3"/>
        <v>10994</v>
      </c>
      <c r="Z58" s="40">
        <v>500</v>
      </c>
      <c r="AA58" s="39">
        <f t="shared" si="12"/>
        <v>10494</v>
      </c>
    </row>
    <row r="59" spans="1:27" s="20" customFormat="1">
      <c r="A59" s="28">
        <v>49</v>
      </c>
      <c r="B59" s="29">
        <v>101084612898</v>
      </c>
      <c r="C59" s="30">
        <v>3317595184</v>
      </c>
      <c r="D59" s="31" t="s">
        <v>77</v>
      </c>
      <c r="E59" s="32">
        <v>636</v>
      </c>
      <c r="F59" s="33">
        <v>13</v>
      </c>
      <c r="G59" s="34">
        <v>8</v>
      </c>
      <c r="H59" s="35">
        <f t="shared" si="0"/>
        <v>21</v>
      </c>
      <c r="I59" s="36">
        <f t="shared" si="4"/>
        <v>8268</v>
      </c>
      <c r="J59" s="36">
        <f t="shared" si="5"/>
        <v>5088</v>
      </c>
      <c r="K59" s="36">
        <f t="shared" si="6"/>
        <v>13356</v>
      </c>
      <c r="L59" s="36">
        <f t="shared" si="7"/>
        <v>7873</v>
      </c>
      <c r="M59" s="37">
        <f t="shared" si="8"/>
        <v>394</v>
      </c>
      <c r="N59" s="36">
        <f t="shared" si="9"/>
        <v>5089</v>
      </c>
      <c r="O59" s="36">
        <f t="shared" si="13"/>
        <v>13356</v>
      </c>
      <c r="P59" s="37">
        <f t="shared" si="1"/>
        <v>945</v>
      </c>
      <c r="Q59" s="37">
        <f t="shared" si="10"/>
        <v>200</v>
      </c>
      <c r="R59" s="37">
        <f t="shared" si="11"/>
        <v>100</v>
      </c>
      <c r="S59" s="37"/>
      <c r="T59" s="31"/>
      <c r="U59" s="38"/>
      <c r="V59" s="38"/>
      <c r="W59" s="31"/>
      <c r="X59" s="37">
        <f t="shared" si="2"/>
        <v>1245</v>
      </c>
      <c r="Y59" s="39">
        <f t="shared" si="3"/>
        <v>12111</v>
      </c>
      <c r="Z59" s="40">
        <v>500</v>
      </c>
      <c r="AA59" s="39">
        <f t="shared" si="12"/>
        <v>11611</v>
      </c>
    </row>
    <row r="60" spans="1:27" s="20" customFormat="1">
      <c r="A60" s="28">
        <v>50</v>
      </c>
      <c r="B60" s="29">
        <v>101732689727</v>
      </c>
      <c r="C60" s="30">
        <v>3316185376</v>
      </c>
      <c r="D60" s="31" t="s">
        <v>78</v>
      </c>
      <c r="E60" s="32">
        <v>636</v>
      </c>
      <c r="F60" s="33">
        <v>0</v>
      </c>
      <c r="G60" s="34"/>
      <c r="H60" s="35">
        <f t="shared" si="0"/>
        <v>0</v>
      </c>
      <c r="I60" s="36">
        <f t="shared" si="4"/>
        <v>0</v>
      </c>
      <c r="J60" s="36">
        <f t="shared" si="5"/>
        <v>0</v>
      </c>
      <c r="K60" s="36">
        <f t="shared" si="6"/>
        <v>0</v>
      </c>
      <c r="L60" s="36">
        <f t="shared" si="7"/>
        <v>0</v>
      </c>
      <c r="M60" s="37">
        <f t="shared" si="8"/>
        <v>0</v>
      </c>
      <c r="N60" s="36">
        <f t="shared" si="9"/>
        <v>0</v>
      </c>
      <c r="O60" s="36">
        <f t="shared" si="13"/>
        <v>0</v>
      </c>
      <c r="P60" s="37">
        <f t="shared" si="1"/>
        <v>0</v>
      </c>
      <c r="Q60" s="37">
        <f t="shared" si="10"/>
        <v>0</v>
      </c>
      <c r="R60" s="37">
        <f t="shared" si="11"/>
        <v>0</v>
      </c>
      <c r="S60" s="37"/>
      <c r="T60" s="31"/>
      <c r="U60" s="38"/>
      <c r="V60" s="38"/>
      <c r="W60" s="31"/>
      <c r="X60" s="37">
        <f t="shared" si="2"/>
        <v>0</v>
      </c>
      <c r="Y60" s="39">
        <f t="shared" si="3"/>
        <v>0</v>
      </c>
      <c r="Z60" s="40">
        <v>500</v>
      </c>
      <c r="AA60" s="39">
        <f t="shared" si="12"/>
        <v>-500</v>
      </c>
    </row>
    <row r="61" spans="1:27" s="46" customFormat="1">
      <c r="A61" s="28">
        <v>51</v>
      </c>
      <c r="B61" s="29">
        <v>101902123648</v>
      </c>
      <c r="C61" s="30">
        <v>3315199679</v>
      </c>
      <c r="D61" s="31" t="s">
        <v>79</v>
      </c>
      <c r="E61" s="32">
        <v>636</v>
      </c>
      <c r="F61" s="33">
        <v>14</v>
      </c>
      <c r="G61" s="34">
        <v>8</v>
      </c>
      <c r="H61" s="35">
        <f t="shared" si="0"/>
        <v>22</v>
      </c>
      <c r="I61" s="36">
        <f t="shared" si="4"/>
        <v>8904</v>
      </c>
      <c r="J61" s="36">
        <f t="shared" si="5"/>
        <v>5088</v>
      </c>
      <c r="K61" s="36">
        <f t="shared" si="6"/>
        <v>13992</v>
      </c>
      <c r="L61" s="36">
        <f t="shared" si="7"/>
        <v>8479</v>
      </c>
      <c r="M61" s="37">
        <f t="shared" si="8"/>
        <v>424</v>
      </c>
      <c r="N61" s="36">
        <f t="shared" si="9"/>
        <v>5089</v>
      </c>
      <c r="O61" s="36">
        <f t="shared" si="13"/>
        <v>13992</v>
      </c>
      <c r="P61" s="37">
        <f t="shared" si="1"/>
        <v>1017</v>
      </c>
      <c r="Q61" s="37">
        <f t="shared" si="10"/>
        <v>200</v>
      </c>
      <c r="R61" s="37">
        <f t="shared" si="11"/>
        <v>105</v>
      </c>
      <c r="S61" s="37"/>
      <c r="T61" s="31"/>
      <c r="U61" s="38"/>
      <c r="V61" s="38"/>
      <c r="W61" s="31"/>
      <c r="X61" s="37">
        <f t="shared" si="2"/>
        <v>1322</v>
      </c>
      <c r="Y61" s="39">
        <f t="shared" si="3"/>
        <v>12670</v>
      </c>
      <c r="Z61" s="40">
        <v>500</v>
      </c>
      <c r="AA61" s="39">
        <f t="shared" si="12"/>
        <v>12170</v>
      </c>
    </row>
    <row r="62" spans="1:27" s="46" customFormat="1">
      <c r="A62" s="28">
        <v>52</v>
      </c>
      <c r="B62" s="29">
        <v>102062806876</v>
      </c>
      <c r="C62" s="30">
        <v>3316290554</v>
      </c>
      <c r="D62" s="31" t="s">
        <v>80</v>
      </c>
      <c r="E62" s="32">
        <v>636</v>
      </c>
      <c r="F62" s="33">
        <v>18</v>
      </c>
      <c r="G62" s="34">
        <v>7</v>
      </c>
      <c r="H62" s="35">
        <f t="shared" si="0"/>
        <v>25</v>
      </c>
      <c r="I62" s="36">
        <f t="shared" si="4"/>
        <v>11448</v>
      </c>
      <c r="J62" s="36">
        <f t="shared" si="5"/>
        <v>4452</v>
      </c>
      <c r="K62" s="36">
        <f t="shared" si="6"/>
        <v>15900</v>
      </c>
      <c r="L62" s="36">
        <f t="shared" si="7"/>
        <v>10901</v>
      </c>
      <c r="M62" s="37">
        <f t="shared" si="8"/>
        <v>545</v>
      </c>
      <c r="N62" s="36">
        <f t="shared" si="9"/>
        <v>4454</v>
      </c>
      <c r="O62" s="36">
        <f>N62+M62+L62</f>
        <v>15900</v>
      </c>
      <c r="P62" s="37">
        <f t="shared" si="1"/>
        <v>1308</v>
      </c>
      <c r="Q62" s="37">
        <f t="shared" si="10"/>
        <v>200</v>
      </c>
      <c r="R62" s="37">
        <f t="shared" si="11"/>
        <v>119</v>
      </c>
      <c r="S62" s="37"/>
      <c r="T62" s="31"/>
      <c r="U62" s="38"/>
      <c r="V62" s="38"/>
      <c r="W62" s="31"/>
      <c r="X62" s="37">
        <f t="shared" si="2"/>
        <v>1627</v>
      </c>
      <c r="Y62" s="39">
        <f t="shared" si="3"/>
        <v>14273</v>
      </c>
      <c r="Z62" s="40">
        <v>500</v>
      </c>
      <c r="AA62" s="39">
        <f t="shared" si="12"/>
        <v>13773</v>
      </c>
    </row>
    <row r="63" spans="1:27" s="46" customFormat="1">
      <c r="A63" s="28">
        <v>53</v>
      </c>
      <c r="B63" s="29">
        <v>101407413648</v>
      </c>
      <c r="C63" s="30">
        <v>3310316931</v>
      </c>
      <c r="D63" s="31" t="s">
        <v>81</v>
      </c>
      <c r="E63" s="32">
        <v>636</v>
      </c>
      <c r="F63" s="33">
        <v>15</v>
      </c>
      <c r="G63" s="34">
        <v>8</v>
      </c>
      <c r="H63" s="35">
        <f t="shared" si="0"/>
        <v>23</v>
      </c>
      <c r="I63" s="36">
        <f t="shared" si="4"/>
        <v>9540</v>
      </c>
      <c r="J63" s="36">
        <f t="shared" si="5"/>
        <v>5088</v>
      </c>
      <c r="K63" s="36">
        <f t="shared" si="6"/>
        <v>14628</v>
      </c>
      <c r="L63" s="36">
        <f t="shared" si="7"/>
        <v>9084</v>
      </c>
      <c r="M63" s="37">
        <f t="shared" si="8"/>
        <v>454</v>
      </c>
      <c r="N63" s="36">
        <f t="shared" si="9"/>
        <v>5090</v>
      </c>
      <c r="O63" s="36">
        <f t="shared" si="13"/>
        <v>14628</v>
      </c>
      <c r="P63" s="37">
        <f t="shared" si="1"/>
        <v>1090</v>
      </c>
      <c r="Q63" s="37">
        <f t="shared" si="10"/>
        <v>200</v>
      </c>
      <c r="R63" s="37">
        <f t="shared" si="11"/>
        <v>110</v>
      </c>
      <c r="S63" s="37"/>
      <c r="T63" s="31"/>
      <c r="U63" s="38"/>
      <c r="V63" s="38"/>
      <c r="W63" s="31"/>
      <c r="X63" s="37">
        <f t="shared" si="2"/>
        <v>1400</v>
      </c>
      <c r="Y63" s="39">
        <f t="shared" si="3"/>
        <v>13228</v>
      </c>
      <c r="Z63" s="40">
        <v>500</v>
      </c>
      <c r="AA63" s="39">
        <f t="shared" si="12"/>
        <v>12728</v>
      </c>
    </row>
    <row r="64" spans="1:27" s="46" customFormat="1">
      <c r="A64" s="28">
        <v>54</v>
      </c>
      <c r="B64" s="29">
        <v>101931400073</v>
      </c>
      <c r="C64" s="30">
        <v>3316313423</v>
      </c>
      <c r="D64" s="31" t="s">
        <v>82</v>
      </c>
      <c r="E64" s="32">
        <v>636</v>
      </c>
      <c r="F64" s="33">
        <v>18</v>
      </c>
      <c r="G64" s="34">
        <v>7</v>
      </c>
      <c r="H64" s="35">
        <f t="shared" si="0"/>
        <v>25</v>
      </c>
      <c r="I64" s="36">
        <f t="shared" si="4"/>
        <v>11448</v>
      </c>
      <c r="J64" s="36">
        <f t="shared" si="5"/>
        <v>4452</v>
      </c>
      <c r="K64" s="36">
        <f t="shared" si="6"/>
        <v>15900</v>
      </c>
      <c r="L64" s="36">
        <f t="shared" si="7"/>
        <v>10901</v>
      </c>
      <c r="M64" s="37">
        <f t="shared" si="8"/>
        <v>545</v>
      </c>
      <c r="N64" s="36">
        <f t="shared" si="9"/>
        <v>4454</v>
      </c>
      <c r="O64" s="36">
        <f t="shared" si="13"/>
        <v>15900</v>
      </c>
      <c r="P64" s="37">
        <f t="shared" si="1"/>
        <v>1308</v>
      </c>
      <c r="Q64" s="37">
        <f t="shared" si="10"/>
        <v>200</v>
      </c>
      <c r="R64" s="37">
        <f t="shared" si="11"/>
        <v>119</v>
      </c>
      <c r="S64" s="37"/>
      <c r="T64" s="31"/>
      <c r="U64" s="38"/>
      <c r="V64" s="38"/>
      <c r="W64" s="31"/>
      <c r="X64" s="37">
        <f t="shared" si="2"/>
        <v>1627</v>
      </c>
      <c r="Y64" s="39">
        <f t="shared" si="3"/>
        <v>14273</v>
      </c>
      <c r="Z64" s="40">
        <v>500</v>
      </c>
      <c r="AA64" s="39">
        <f t="shared" si="12"/>
        <v>13773</v>
      </c>
    </row>
    <row r="65" spans="1:27" s="46" customFormat="1">
      <c r="A65" s="28">
        <v>55</v>
      </c>
      <c r="B65" s="29">
        <v>101805790352</v>
      </c>
      <c r="C65" s="30">
        <v>3313806736</v>
      </c>
      <c r="D65" s="31" t="s">
        <v>83</v>
      </c>
      <c r="E65" s="32">
        <v>636</v>
      </c>
      <c r="F65" s="42">
        <v>15</v>
      </c>
      <c r="G65" s="34">
        <v>8</v>
      </c>
      <c r="H65" s="35">
        <f t="shared" si="0"/>
        <v>23</v>
      </c>
      <c r="I65" s="36">
        <f t="shared" si="4"/>
        <v>9540</v>
      </c>
      <c r="J65" s="36">
        <f t="shared" si="5"/>
        <v>5088</v>
      </c>
      <c r="K65" s="36">
        <f t="shared" si="6"/>
        <v>14628</v>
      </c>
      <c r="L65" s="36">
        <f t="shared" si="7"/>
        <v>9084</v>
      </c>
      <c r="M65" s="37">
        <f t="shared" si="8"/>
        <v>454</v>
      </c>
      <c r="N65" s="36">
        <f t="shared" si="9"/>
        <v>5090</v>
      </c>
      <c r="O65" s="36">
        <f t="shared" si="13"/>
        <v>14628</v>
      </c>
      <c r="P65" s="37">
        <f t="shared" si="1"/>
        <v>1090</v>
      </c>
      <c r="Q65" s="37">
        <f t="shared" si="10"/>
        <v>200</v>
      </c>
      <c r="R65" s="37">
        <f t="shared" si="11"/>
        <v>110</v>
      </c>
      <c r="S65" s="37"/>
      <c r="T65" s="31"/>
      <c r="U65" s="38"/>
      <c r="V65" s="38"/>
      <c r="W65" s="31"/>
      <c r="X65" s="37">
        <f t="shared" si="2"/>
        <v>1400</v>
      </c>
      <c r="Y65" s="39">
        <f t="shared" si="3"/>
        <v>13228</v>
      </c>
      <c r="Z65" s="40">
        <v>500</v>
      </c>
      <c r="AA65" s="39">
        <f t="shared" si="12"/>
        <v>12728</v>
      </c>
    </row>
    <row r="66" spans="1:27" s="46" customFormat="1">
      <c r="A66" s="28">
        <v>56</v>
      </c>
      <c r="B66" s="47">
        <v>101486099649</v>
      </c>
      <c r="C66" s="30">
        <v>3311361569</v>
      </c>
      <c r="D66" s="31" t="s">
        <v>84</v>
      </c>
      <c r="E66" s="32">
        <v>636</v>
      </c>
      <c r="F66" s="33">
        <v>12</v>
      </c>
      <c r="G66" s="34">
        <v>8</v>
      </c>
      <c r="H66" s="35">
        <f t="shared" si="0"/>
        <v>20</v>
      </c>
      <c r="I66" s="36">
        <f t="shared" si="4"/>
        <v>7632</v>
      </c>
      <c r="J66" s="36">
        <f t="shared" si="5"/>
        <v>5088</v>
      </c>
      <c r="K66" s="36">
        <f t="shared" si="6"/>
        <v>12720</v>
      </c>
      <c r="L66" s="36">
        <f t="shared" si="7"/>
        <v>7267</v>
      </c>
      <c r="M66" s="37">
        <f t="shared" si="8"/>
        <v>363</v>
      </c>
      <c r="N66" s="36">
        <f t="shared" si="9"/>
        <v>5090</v>
      </c>
      <c r="O66" s="36">
        <f t="shared" si="13"/>
        <v>12720</v>
      </c>
      <c r="P66" s="37">
        <f t="shared" si="1"/>
        <v>872</v>
      </c>
      <c r="Q66" s="37">
        <f t="shared" si="10"/>
        <v>200</v>
      </c>
      <c r="R66" s="37">
        <f t="shared" si="11"/>
        <v>95</v>
      </c>
      <c r="S66" s="37"/>
      <c r="T66" s="31"/>
      <c r="U66" s="38"/>
      <c r="V66" s="38"/>
      <c r="W66" s="31"/>
      <c r="X66" s="37">
        <f t="shared" si="2"/>
        <v>1167</v>
      </c>
      <c r="Y66" s="39">
        <f t="shared" si="3"/>
        <v>11553</v>
      </c>
      <c r="Z66" s="40">
        <v>500</v>
      </c>
      <c r="AA66" s="39">
        <f t="shared" si="12"/>
        <v>11053</v>
      </c>
    </row>
    <row r="67" spans="1:27" s="46" customFormat="1">
      <c r="A67" s="28">
        <v>57</v>
      </c>
      <c r="B67" s="47">
        <v>102078951370</v>
      </c>
      <c r="C67" s="30">
        <v>3316473499</v>
      </c>
      <c r="D67" s="31" t="s">
        <v>85</v>
      </c>
      <c r="E67" s="32">
        <v>636</v>
      </c>
      <c r="F67" s="33">
        <v>9</v>
      </c>
      <c r="G67" s="34">
        <v>6</v>
      </c>
      <c r="H67" s="35">
        <f t="shared" si="0"/>
        <v>15</v>
      </c>
      <c r="I67" s="36">
        <f t="shared" si="4"/>
        <v>5724</v>
      </c>
      <c r="J67" s="36">
        <f t="shared" si="5"/>
        <v>3816</v>
      </c>
      <c r="K67" s="36">
        <f t="shared" si="6"/>
        <v>9540</v>
      </c>
      <c r="L67" s="36">
        <f t="shared" si="7"/>
        <v>5451</v>
      </c>
      <c r="M67" s="37">
        <f t="shared" si="8"/>
        <v>273</v>
      </c>
      <c r="N67" s="36">
        <f t="shared" si="9"/>
        <v>3816</v>
      </c>
      <c r="O67" s="36">
        <f t="shared" si="13"/>
        <v>9540</v>
      </c>
      <c r="P67" s="37">
        <f t="shared" si="1"/>
        <v>654</v>
      </c>
      <c r="Q67" s="37">
        <f t="shared" si="10"/>
        <v>175</v>
      </c>
      <c r="R67" s="37">
        <f t="shared" si="11"/>
        <v>72</v>
      </c>
      <c r="S67" s="37"/>
      <c r="T67" s="31"/>
      <c r="U67" s="38"/>
      <c r="V67" s="38"/>
      <c r="W67" s="31"/>
      <c r="X67" s="37">
        <f t="shared" si="2"/>
        <v>901</v>
      </c>
      <c r="Y67" s="39">
        <f t="shared" si="3"/>
        <v>8639</v>
      </c>
      <c r="Z67" s="40">
        <v>500</v>
      </c>
      <c r="AA67" s="39">
        <f t="shared" si="12"/>
        <v>8139</v>
      </c>
    </row>
    <row r="68" spans="1:27" s="46" customFormat="1">
      <c r="A68" s="28">
        <v>58</v>
      </c>
      <c r="B68" s="47">
        <v>101492178974</v>
      </c>
      <c r="C68" s="30">
        <v>3311090288</v>
      </c>
      <c r="D68" s="31" t="s">
        <v>86</v>
      </c>
      <c r="E68" s="32">
        <v>636</v>
      </c>
      <c r="F68" s="33">
        <v>18</v>
      </c>
      <c r="G68" s="34">
        <v>7</v>
      </c>
      <c r="H68" s="35">
        <f t="shared" si="0"/>
        <v>25</v>
      </c>
      <c r="I68" s="36">
        <f t="shared" si="4"/>
        <v>11448</v>
      </c>
      <c r="J68" s="36">
        <f t="shared" si="5"/>
        <v>4452</v>
      </c>
      <c r="K68" s="36">
        <f t="shared" si="6"/>
        <v>15900</v>
      </c>
      <c r="L68" s="36">
        <f t="shared" si="7"/>
        <v>10901</v>
      </c>
      <c r="M68" s="37">
        <f t="shared" si="8"/>
        <v>545</v>
      </c>
      <c r="N68" s="36">
        <f t="shared" si="9"/>
        <v>4454</v>
      </c>
      <c r="O68" s="36">
        <f t="shared" si="13"/>
        <v>15900</v>
      </c>
      <c r="P68" s="37">
        <f t="shared" si="1"/>
        <v>1308</v>
      </c>
      <c r="Q68" s="37">
        <f t="shared" si="10"/>
        <v>200</v>
      </c>
      <c r="R68" s="37">
        <f t="shared" si="11"/>
        <v>119</v>
      </c>
      <c r="S68" s="37"/>
      <c r="T68" s="31"/>
      <c r="U68" s="38"/>
      <c r="V68" s="38"/>
      <c r="W68" s="31"/>
      <c r="X68" s="37">
        <f t="shared" si="2"/>
        <v>1627</v>
      </c>
      <c r="Y68" s="39">
        <f t="shared" si="3"/>
        <v>14273</v>
      </c>
      <c r="Z68" s="40">
        <v>500</v>
      </c>
      <c r="AA68" s="39">
        <f t="shared" si="12"/>
        <v>13773</v>
      </c>
    </row>
    <row r="69" spans="1:27" s="46" customFormat="1">
      <c r="A69" s="28">
        <v>59</v>
      </c>
      <c r="B69" s="47">
        <v>102043325341</v>
      </c>
      <c r="C69" s="30">
        <v>3316063261</v>
      </c>
      <c r="D69" s="31" t="s">
        <v>87</v>
      </c>
      <c r="E69" s="32">
        <v>636</v>
      </c>
      <c r="F69" s="33">
        <v>18</v>
      </c>
      <c r="G69" s="34">
        <v>7</v>
      </c>
      <c r="H69" s="35">
        <f t="shared" si="0"/>
        <v>25</v>
      </c>
      <c r="I69" s="36">
        <f t="shared" si="4"/>
        <v>11448</v>
      </c>
      <c r="J69" s="36">
        <f t="shared" si="5"/>
        <v>4452</v>
      </c>
      <c r="K69" s="36">
        <f t="shared" si="6"/>
        <v>15900</v>
      </c>
      <c r="L69" s="36">
        <f t="shared" si="7"/>
        <v>10901</v>
      </c>
      <c r="M69" s="37">
        <f t="shared" si="8"/>
        <v>545</v>
      </c>
      <c r="N69" s="36">
        <f t="shared" si="9"/>
        <v>4454</v>
      </c>
      <c r="O69" s="36">
        <f t="shared" si="13"/>
        <v>15900</v>
      </c>
      <c r="P69" s="37">
        <f t="shared" si="1"/>
        <v>1308</v>
      </c>
      <c r="Q69" s="37">
        <f t="shared" si="10"/>
        <v>200</v>
      </c>
      <c r="R69" s="37">
        <f t="shared" si="11"/>
        <v>119</v>
      </c>
      <c r="S69" s="37"/>
      <c r="T69" s="31"/>
      <c r="U69" s="38"/>
      <c r="V69" s="38"/>
      <c r="W69" s="31"/>
      <c r="X69" s="37">
        <f t="shared" si="2"/>
        <v>1627</v>
      </c>
      <c r="Y69" s="39">
        <f t="shared" si="3"/>
        <v>14273</v>
      </c>
      <c r="Z69" s="40">
        <v>500</v>
      </c>
      <c r="AA69" s="39">
        <f t="shared" si="12"/>
        <v>13773</v>
      </c>
    </row>
    <row r="70" spans="1:27" s="46" customFormat="1">
      <c r="A70" s="28">
        <v>60</v>
      </c>
      <c r="B70" s="47">
        <v>101821692693</v>
      </c>
      <c r="C70" s="30">
        <v>3313965630</v>
      </c>
      <c r="D70" s="31" t="s">
        <v>88</v>
      </c>
      <c r="E70" s="32">
        <v>636</v>
      </c>
      <c r="F70" s="42">
        <v>7</v>
      </c>
      <c r="G70" s="34">
        <v>3</v>
      </c>
      <c r="H70" s="35">
        <f t="shared" si="0"/>
        <v>10</v>
      </c>
      <c r="I70" s="36">
        <f t="shared" si="4"/>
        <v>4452</v>
      </c>
      <c r="J70" s="36">
        <f t="shared" si="5"/>
        <v>1908</v>
      </c>
      <c r="K70" s="36">
        <f t="shared" si="6"/>
        <v>6360</v>
      </c>
      <c r="L70" s="36">
        <f t="shared" si="7"/>
        <v>4239</v>
      </c>
      <c r="M70" s="37">
        <f t="shared" si="8"/>
        <v>212</v>
      </c>
      <c r="N70" s="36">
        <f t="shared" si="9"/>
        <v>1909</v>
      </c>
      <c r="O70" s="36">
        <f t="shared" si="13"/>
        <v>6360</v>
      </c>
      <c r="P70" s="37">
        <f t="shared" si="1"/>
        <v>509</v>
      </c>
      <c r="Q70" s="37">
        <f t="shared" si="10"/>
        <v>0</v>
      </c>
      <c r="R70" s="37">
        <f t="shared" si="11"/>
        <v>48</v>
      </c>
      <c r="S70" s="37"/>
      <c r="T70" s="31"/>
      <c r="U70" s="38"/>
      <c r="V70" s="38"/>
      <c r="W70" s="31"/>
      <c r="X70" s="37">
        <f t="shared" si="2"/>
        <v>557</v>
      </c>
      <c r="Y70" s="39">
        <f t="shared" si="3"/>
        <v>5803</v>
      </c>
      <c r="Z70" s="40">
        <v>500</v>
      </c>
      <c r="AA70" s="39">
        <f t="shared" si="12"/>
        <v>5303</v>
      </c>
    </row>
    <row r="71" spans="1:27" s="46" customFormat="1">
      <c r="A71" s="28">
        <v>61</v>
      </c>
      <c r="B71" s="47">
        <v>101591620411</v>
      </c>
      <c r="C71" s="30">
        <v>3313948482</v>
      </c>
      <c r="D71" s="31" t="s">
        <v>89</v>
      </c>
      <c r="E71" s="32">
        <v>636</v>
      </c>
      <c r="F71" s="33">
        <v>0</v>
      </c>
      <c r="G71" s="34"/>
      <c r="H71" s="35">
        <f t="shared" si="0"/>
        <v>0</v>
      </c>
      <c r="I71" s="36">
        <f t="shared" si="4"/>
        <v>0</v>
      </c>
      <c r="J71" s="36">
        <f t="shared" si="5"/>
        <v>0</v>
      </c>
      <c r="K71" s="36">
        <f t="shared" si="6"/>
        <v>0</v>
      </c>
      <c r="L71" s="36">
        <f t="shared" si="7"/>
        <v>0</v>
      </c>
      <c r="M71" s="37">
        <f t="shared" si="8"/>
        <v>0</v>
      </c>
      <c r="N71" s="36">
        <f t="shared" si="9"/>
        <v>0</v>
      </c>
      <c r="O71" s="36">
        <f t="shared" si="13"/>
        <v>0</v>
      </c>
      <c r="P71" s="37">
        <f t="shared" si="1"/>
        <v>0</v>
      </c>
      <c r="Q71" s="37">
        <f t="shared" si="10"/>
        <v>0</v>
      </c>
      <c r="R71" s="37">
        <f t="shared" si="11"/>
        <v>0</v>
      </c>
      <c r="S71" s="37"/>
      <c r="T71" s="31"/>
      <c r="U71" s="38"/>
      <c r="V71" s="38"/>
      <c r="W71" s="31"/>
      <c r="X71" s="37">
        <f t="shared" si="2"/>
        <v>0</v>
      </c>
      <c r="Y71" s="39">
        <f t="shared" si="3"/>
        <v>0</v>
      </c>
      <c r="Z71" s="40">
        <v>500</v>
      </c>
      <c r="AA71" s="39">
        <f t="shared" si="12"/>
        <v>-500</v>
      </c>
    </row>
    <row r="72" spans="1:27" s="46" customFormat="1">
      <c r="A72" s="28">
        <v>62</v>
      </c>
      <c r="B72" s="47">
        <v>102235752061</v>
      </c>
      <c r="C72" s="30">
        <v>3317906217</v>
      </c>
      <c r="D72" s="31" t="s">
        <v>90</v>
      </c>
      <c r="E72" s="32">
        <v>636</v>
      </c>
      <c r="F72" s="33">
        <v>17</v>
      </c>
      <c r="G72" s="34">
        <v>7</v>
      </c>
      <c r="H72" s="35">
        <f t="shared" si="0"/>
        <v>24</v>
      </c>
      <c r="I72" s="36">
        <f t="shared" si="4"/>
        <v>10812</v>
      </c>
      <c r="J72" s="36">
        <f t="shared" si="5"/>
        <v>4452</v>
      </c>
      <c r="K72" s="36">
        <f t="shared" si="6"/>
        <v>15264</v>
      </c>
      <c r="L72" s="36">
        <f t="shared" si="7"/>
        <v>10295</v>
      </c>
      <c r="M72" s="37">
        <f t="shared" si="8"/>
        <v>515</v>
      </c>
      <c r="N72" s="36">
        <f t="shared" si="9"/>
        <v>4454</v>
      </c>
      <c r="O72" s="36">
        <f t="shared" si="13"/>
        <v>15264</v>
      </c>
      <c r="P72" s="37">
        <f t="shared" si="1"/>
        <v>1235</v>
      </c>
      <c r="Q72" s="37">
        <f t="shared" si="10"/>
        <v>200</v>
      </c>
      <c r="R72" s="37">
        <f t="shared" si="11"/>
        <v>114</v>
      </c>
      <c r="S72" s="37"/>
      <c r="T72" s="31"/>
      <c r="U72" s="38"/>
      <c r="V72" s="38"/>
      <c r="W72" s="31"/>
      <c r="X72" s="37">
        <f t="shared" si="2"/>
        <v>1549</v>
      </c>
      <c r="Y72" s="39">
        <f t="shared" si="3"/>
        <v>13715</v>
      </c>
      <c r="Z72" s="40">
        <v>500</v>
      </c>
      <c r="AA72" s="39">
        <f t="shared" si="12"/>
        <v>13215</v>
      </c>
    </row>
    <row r="73" spans="1:27" s="46" customFormat="1">
      <c r="A73" s="28">
        <v>63</v>
      </c>
      <c r="B73" s="48">
        <v>101960331774</v>
      </c>
      <c r="C73" s="30">
        <v>3315285018</v>
      </c>
      <c r="D73" s="31" t="s">
        <v>91</v>
      </c>
      <c r="E73" s="32">
        <v>636</v>
      </c>
      <c r="F73" s="33">
        <v>18</v>
      </c>
      <c r="G73" s="34">
        <v>7</v>
      </c>
      <c r="H73" s="35">
        <f t="shared" si="0"/>
        <v>25</v>
      </c>
      <c r="I73" s="36">
        <f t="shared" si="4"/>
        <v>11448</v>
      </c>
      <c r="J73" s="36">
        <f t="shared" si="5"/>
        <v>4452</v>
      </c>
      <c r="K73" s="36">
        <f t="shared" si="6"/>
        <v>15900</v>
      </c>
      <c r="L73" s="36">
        <f t="shared" si="7"/>
        <v>10901</v>
      </c>
      <c r="M73" s="37">
        <f t="shared" si="8"/>
        <v>545</v>
      </c>
      <c r="N73" s="36">
        <f t="shared" si="9"/>
        <v>4454</v>
      </c>
      <c r="O73" s="36">
        <f t="shared" si="13"/>
        <v>15900</v>
      </c>
      <c r="P73" s="37">
        <f t="shared" si="1"/>
        <v>1308</v>
      </c>
      <c r="Q73" s="37">
        <f t="shared" si="10"/>
        <v>200</v>
      </c>
      <c r="R73" s="37">
        <f t="shared" si="11"/>
        <v>119</v>
      </c>
      <c r="S73" s="37"/>
      <c r="T73" s="31"/>
      <c r="U73" s="38"/>
      <c r="V73" s="38"/>
      <c r="W73" s="31"/>
      <c r="X73" s="37">
        <f t="shared" si="2"/>
        <v>1627</v>
      </c>
      <c r="Y73" s="39">
        <f t="shared" si="3"/>
        <v>14273</v>
      </c>
      <c r="Z73" s="40">
        <v>500</v>
      </c>
      <c r="AA73" s="39">
        <f t="shared" si="12"/>
        <v>13773</v>
      </c>
    </row>
    <row r="74" spans="1:27" s="46" customFormat="1">
      <c r="A74" s="28">
        <v>64</v>
      </c>
      <c r="B74" s="47">
        <v>101540070377</v>
      </c>
      <c r="C74" s="30">
        <v>3311838965</v>
      </c>
      <c r="D74" s="31" t="s">
        <v>92</v>
      </c>
      <c r="E74" s="32">
        <v>636</v>
      </c>
      <c r="F74" s="33">
        <v>11</v>
      </c>
      <c r="G74" s="34">
        <v>8</v>
      </c>
      <c r="H74" s="35">
        <f t="shared" si="0"/>
        <v>19</v>
      </c>
      <c r="I74" s="36">
        <f t="shared" si="4"/>
        <v>6996</v>
      </c>
      <c r="J74" s="36">
        <f t="shared" si="5"/>
        <v>5088</v>
      </c>
      <c r="K74" s="36">
        <f t="shared" si="6"/>
        <v>12084</v>
      </c>
      <c r="L74" s="36">
        <f t="shared" si="7"/>
        <v>6662</v>
      </c>
      <c r="M74" s="37">
        <f t="shared" si="8"/>
        <v>333</v>
      </c>
      <c r="N74" s="36">
        <f t="shared" si="9"/>
        <v>5089</v>
      </c>
      <c r="O74" s="36">
        <f t="shared" si="13"/>
        <v>12084</v>
      </c>
      <c r="P74" s="37">
        <f t="shared" si="1"/>
        <v>799</v>
      </c>
      <c r="Q74" s="37">
        <f t="shared" si="10"/>
        <v>200</v>
      </c>
      <c r="R74" s="37">
        <f t="shared" si="11"/>
        <v>91</v>
      </c>
      <c r="S74" s="37"/>
      <c r="T74" s="31"/>
      <c r="U74" s="38"/>
      <c r="V74" s="38"/>
      <c r="W74" s="31"/>
      <c r="X74" s="37">
        <f t="shared" si="2"/>
        <v>1090</v>
      </c>
      <c r="Y74" s="39">
        <f t="shared" si="3"/>
        <v>10994</v>
      </c>
      <c r="Z74" s="40">
        <v>500</v>
      </c>
      <c r="AA74" s="39">
        <f t="shared" si="12"/>
        <v>10494</v>
      </c>
    </row>
    <row r="75" spans="1:27" s="61" customFormat="1">
      <c r="A75" s="50">
        <v>65</v>
      </c>
      <c r="B75" s="51">
        <v>101475170616</v>
      </c>
      <c r="C75" s="52">
        <v>3310906192</v>
      </c>
      <c r="D75" s="31" t="s">
        <v>93</v>
      </c>
      <c r="E75" s="54">
        <v>636</v>
      </c>
      <c r="F75" s="33">
        <v>18</v>
      </c>
      <c r="G75" s="34">
        <v>7</v>
      </c>
      <c r="H75" s="55">
        <f t="shared" si="0"/>
        <v>25</v>
      </c>
      <c r="I75" s="56">
        <f t="shared" si="4"/>
        <v>11448</v>
      </c>
      <c r="J75" s="56">
        <f t="shared" si="5"/>
        <v>4452</v>
      </c>
      <c r="K75" s="56">
        <f t="shared" si="6"/>
        <v>15900</v>
      </c>
      <c r="L75" s="56">
        <f t="shared" si="7"/>
        <v>10901</v>
      </c>
      <c r="M75" s="57">
        <f t="shared" si="8"/>
        <v>545</v>
      </c>
      <c r="N75" s="56">
        <f t="shared" si="9"/>
        <v>4454</v>
      </c>
      <c r="O75" s="56">
        <f t="shared" si="13"/>
        <v>15900</v>
      </c>
      <c r="P75" s="57">
        <f t="shared" si="1"/>
        <v>1308</v>
      </c>
      <c r="Q75" s="37">
        <f t="shared" si="10"/>
        <v>200</v>
      </c>
      <c r="R75" s="57">
        <f t="shared" si="11"/>
        <v>119</v>
      </c>
      <c r="S75" s="57"/>
      <c r="T75" s="53"/>
      <c r="U75" s="58"/>
      <c r="V75" s="58"/>
      <c r="W75" s="53"/>
      <c r="X75" s="57">
        <f t="shared" si="2"/>
        <v>1627</v>
      </c>
      <c r="Y75" s="59">
        <f t="shared" si="3"/>
        <v>14273</v>
      </c>
      <c r="Z75" s="60">
        <v>500</v>
      </c>
      <c r="AA75" s="59">
        <f t="shared" si="12"/>
        <v>13773</v>
      </c>
    </row>
    <row r="76" spans="1:27" s="46" customFormat="1">
      <c r="A76" s="28">
        <v>66</v>
      </c>
      <c r="B76" s="47">
        <v>101396804599</v>
      </c>
      <c r="C76" s="30">
        <v>3315708668</v>
      </c>
      <c r="D76" s="31" t="s">
        <v>94</v>
      </c>
      <c r="E76" s="32">
        <v>636</v>
      </c>
      <c r="F76" s="33">
        <v>18</v>
      </c>
      <c r="G76" s="34">
        <v>7</v>
      </c>
      <c r="H76" s="35">
        <f t="shared" ref="H76:H103" si="14">+F76+G76</f>
        <v>25</v>
      </c>
      <c r="I76" s="36">
        <f t="shared" si="4"/>
        <v>11448</v>
      </c>
      <c r="J76" s="36">
        <f t="shared" si="5"/>
        <v>4452</v>
      </c>
      <c r="K76" s="36">
        <f t="shared" si="6"/>
        <v>15900</v>
      </c>
      <c r="L76" s="36">
        <f t="shared" si="7"/>
        <v>10901</v>
      </c>
      <c r="M76" s="37">
        <f t="shared" si="8"/>
        <v>545</v>
      </c>
      <c r="N76" s="36">
        <f t="shared" si="9"/>
        <v>4454</v>
      </c>
      <c r="O76" s="36">
        <f t="shared" si="13"/>
        <v>15900</v>
      </c>
      <c r="P76" s="37">
        <f t="shared" ref="P76:P103" si="15">ROUND(L76*12%,0)</f>
        <v>1308</v>
      </c>
      <c r="Q76" s="37">
        <f t="shared" si="10"/>
        <v>200</v>
      </c>
      <c r="R76" s="37">
        <f t="shared" si="11"/>
        <v>119</v>
      </c>
      <c r="S76" s="37"/>
      <c r="T76" s="31"/>
      <c r="U76" s="38"/>
      <c r="V76" s="38"/>
      <c r="W76" s="31"/>
      <c r="X76" s="37">
        <f t="shared" ref="X76:X103" si="16">SUM(P76:W76)</f>
        <v>1627</v>
      </c>
      <c r="Y76" s="39">
        <f t="shared" ref="Y76:Y103" si="17">O76-X76</f>
        <v>14273</v>
      </c>
      <c r="Z76" s="40"/>
      <c r="AA76" s="39">
        <f t="shared" si="12"/>
        <v>14273</v>
      </c>
    </row>
    <row r="77" spans="1:27" s="46" customFormat="1">
      <c r="A77" s="28">
        <v>67</v>
      </c>
      <c r="B77" s="47">
        <v>101817173110</v>
      </c>
      <c r="C77" s="30">
        <v>3315929520</v>
      </c>
      <c r="D77" s="31" t="s">
        <v>95</v>
      </c>
      <c r="E77" s="32">
        <v>636</v>
      </c>
      <c r="F77" s="33">
        <v>15</v>
      </c>
      <c r="G77" s="34">
        <v>8</v>
      </c>
      <c r="H77" s="35">
        <f t="shared" si="14"/>
        <v>23</v>
      </c>
      <c r="I77" s="36">
        <f t="shared" ref="I77:I103" si="18">ROUND(F77*E77,0)</f>
        <v>9540</v>
      </c>
      <c r="J77" s="36">
        <f t="shared" ref="J77:J103" si="19">ROUND(E77*G77,0)</f>
        <v>5088</v>
      </c>
      <c r="K77" s="36">
        <f t="shared" ref="K77:K121" si="20">I77+J77</f>
        <v>14628</v>
      </c>
      <c r="L77" s="36">
        <f t="shared" ref="L77:L103" si="21">ROUND($L$4*F77,0)</f>
        <v>9084</v>
      </c>
      <c r="M77" s="37">
        <f t="shared" ref="M77:M121" si="22">ROUND($L77*5%,0)</f>
        <v>454</v>
      </c>
      <c r="N77" s="36">
        <f t="shared" ref="N77:N103" si="23">K77-L77-M77</f>
        <v>5090</v>
      </c>
      <c r="O77" s="36">
        <f t="shared" si="13"/>
        <v>14628</v>
      </c>
      <c r="P77" s="37">
        <f t="shared" si="15"/>
        <v>1090</v>
      </c>
      <c r="Q77" s="37">
        <f t="shared" ref="Q77:Q121" si="24">IF(O77&lt;=7500,0,IF(O77&lt;=10000,175,200))</f>
        <v>200</v>
      </c>
      <c r="R77" s="37">
        <f t="shared" ref="R77:R103" si="25">ROUND(O77*0.75%,0)</f>
        <v>110</v>
      </c>
      <c r="S77" s="37"/>
      <c r="T77" s="31"/>
      <c r="U77" s="38"/>
      <c r="V77" s="38"/>
      <c r="W77" s="31"/>
      <c r="X77" s="37">
        <f t="shared" si="16"/>
        <v>1400</v>
      </c>
      <c r="Y77" s="39">
        <f t="shared" si="17"/>
        <v>13228</v>
      </c>
      <c r="Z77" s="40">
        <v>500</v>
      </c>
      <c r="AA77" s="39">
        <f t="shared" ref="AA77:AA103" si="26">Y77-Z77</f>
        <v>12728</v>
      </c>
    </row>
    <row r="78" spans="1:27" s="46" customFormat="1">
      <c r="A78" s="28">
        <v>68</v>
      </c>
      <c r="B78" s="47">
        <v>101909060608</v>
      </c>
      <c r="C78" s="30">
        <v>3314771015</v>
      </c>
      <c r="D78" s="31" t="s">
        <v>96</v>
      </c>
      <c r="E78" s="32">
        <v>636</v>
      </c>
      <c r="F78" s="33">
        <v>14</v>
      </c>
      <c r="G78" s="34">
        <v>8</v>
      </c>
      <c r="H78" s="35">
        <f t="shared" si="14"/>
        <v>22</v>
      </c>
      <c r="I78" s="36">
        <f t="shared" si="18"/>
        <v>8904</v>
      </c>
      <c r="J78" s="36">
        <f t="shared" si="19"/>
        <v>5088</v>
      </c>
      <c r="K78" s="36">
        <f t="shared" si="20"/>
        <v>13992</v>
      </c>
      <c r="L78" s="36">
        <f t="shared" si="21"/>
        <v>8479</v>
      </c>
      <c r="M78" s="37">
        <f t="shared" si="22"/>
        <v>424</v>
      </c>
      <c r="N78" s="36">
        <f t="shared" si="23"/>
        <v>5089</v>
      </c>
      <c r="O78" s="36">
        <f t="shared" ref="O78:O103" si="27">N78+M78+L78</f>
        <v>13992</v>
      </c>
      <c r="P78" s="37">
        <f t="shared" si="15"/>
        <v>1017</v>
      </c>
      <c r="Q78" s="37">
        <f t="shared" si="24"/>
        <v>200</v>
      </c>
      <c r="R78" s="37">
        <f t="shared" si="25"/>
        <v>105</v>
      </c>
      <c r="S78" s="37"/>
      <c r="T78" s="31"/>
      <c r="U78" s="38"/>
      <c r="V78" s="38"/>
      <c r="W78" s="31"/>
      <c r="X78" s="37">
        <f t="shared" si="16"/>
        <v>1322</v>
      </c>
      <c r="Y78" s="39">
        <f t="shared" si="17"/>
        <v>12670</v>
      </c>
      <c r="Z78" s="40">
        <v>500</v>
      </c>
      <c r="AA78" s="39">
        <f t="shared" si="26"/>
        <v>12170</v>
      </c>
    </row>
    <row r="79" spans="1:27" s="46" customFormat="1">
      <c r="A79" s="28">
        <v>69</v>
      </c>
      <c r="B79" s="47">
        <v>102086487131</v>
      </c>
      <c r="C79" s="30">
        <v>3316548526</v>
      </c>
      <c r="D79" s="31" t="s">
        <v>97</v>
      </c>
      <c r="E79" s="32">
        <v>636</v>
      </c>
      <c r="F79" s="33">
        <v>13</v>
      </c>
      <c r="G79" s="34">
        <v>8</v>
      </c>
      <c r="H79" s="35">
        <f t="shared" si="14"/>
        <v>21</v>
      </c>
      <c r="I79" s="36">
        <f t="shared" si="18"/>
        <v>8268</v>
      </c>
      <c r="J79" s="36">
        <f t="shared" si="19"/>
        <v>5088</v>
      </c>
      <c r="K79" s="36">
        <f t="shared" si="20"/>
        <v>13356</v>
      </c>
      <c r="L79" s="36">
        <f t="shared" si="21"/>
        <v>7873</v>
      </c>
      <c r="M79" s="37">
        <f t="shared" si="22"/>
        <v>394</v>
      </c>
      <c r="N79" s="36">
        <f t="shared" si="23"/>
        <v>5089</v>
      </c>
      <c r="O79" s="36">
        <f t="shared" si="27"/>
        <v>13356</v>
      </c>
      <c r="P79" s="37">
        <f t="shared" si="15"/>
        <v>945</v>
      </c>
      <c r="Q79" s="37">
        <f t="shared" si="24"/>
        <v>200</v>
      </c>
      <c r="R79" s="37">
        <f t="shared" si="25"/>
        <v>100</v>
      </c>
      <c r="S79" s="37"/>
      <c r="T79" s="31"/>
      <c r="U79" s="38"/>
      <c r="V79" s="38"/>
      <c r="W79" s="62"/>
      <c r="X79" s="37">
        <f t="shared" si="16"/>
        <v>1245</v>
      </c>
      <c r="Y79" s="39">
        <f t="shared" si="17"/>
        <v>12111</v>
      </c>
      <c r="Z79" s="40">
        <v>500</v>
      </c>
      <c r="AA79" s="39">
        <f t="shared" si="26"/>
        <v>11611</v>
      </c>
    </row>
    <row r="80" spans="1:27" s="46" customFormat="1">
      <c r="A80" s="28">
        <v>70</v>
      </c>
      <c r="B80" s="47">
        <v>102125816854</v>
      </c>
      <c r="C80" s="30">
        <v>3316906128</v>
      </c>
      <c r="D80" s="31" t="s">
        <v>98</v>
      </c>
      <c r="E80" s="32">
        <v>636</v>
      </c>
      <c r="F80" s="33">
        <v>18</v>
      </c>
      <c r="G80" s="34">
        <v>7</v>
      </c>
      <c r="H80" s="35">
        <f t="shared" si="14"/>
        <v>25</v>
      </c>
      <c r="I80" s="36">
        <f t="shared" si="18"/>
        <v>11448</v>
      </c>
      <c r="J80" s="36">
        <f t="shared" si="19"/>
        <v>4452</v>
      </c>
      <c r="K80" s="36">
        <f t="shared" si="20"/>
        <v>15900</v>
      </c>
      <c r="L80" s="36">
        <f t="shared" si="21"/>
        <v>10901</v>
      </c>
      <c r="M80" s="37">
        <f t="shared" si="22"/>
        <v>545</v>
      </c>
      <c r="N80" s="36">
        <f t="shared" si="23"/>
        <v>4454</v>
      </c>
      <c r="O80" s="36">
        <f t="shared" si="27"/>
        <v>15900</v>
      </c>
      <c r="P80" s="37">
        <f t="shared" si="15"/>
        <v>1308</v>
      </c>
      <c r="Q80" s="37">
        <f t="shared" si="24"/>
        <v>200</v>
      </c>
      <c r="R80" s="37">
        <f t="shared" si="25"/>
        <v>119</v>
      </c>
      <c r="S80" s="37"/>
      <c r="T80" s="31"/>
      <c r="U80" s="38"/>
      <c r="V80" s="38"/>
      <c r="W80" s="31"/>
      <c r="X80" s="37">
        <f t="shared" si="16"/>
        <v>1627</v>
      </c>
      <c r="Y80" s="39">
        <f t="shared" si="17"/>
        <v>14273</v>
      </c>
      <c r="Z80" s="40">
        <v>500</v>
      </c>
      <c r="AA80" s="39">
        <f t="shared" si="26"/>
        <v>13773</v>
      </c>
    </row>
    <row r="81" spans="1:27" s="46" customFormat="1">
      <c r="A81" s="28">
        <v>71</v>
      </c>
      <c r="B81" s="47">
        <v>101944505682</v>
      </c>
      <c r="C81" s="30">
        <v>3315530821</v>
      </c>
      <c r="D81" s="31" t="s">
        <v>99</v>
      </c>
      <c r="E81" s="32">
        <v>636</v>
      </c>
      <c r="F81" s="33">
        <v>12</v>
      </c>
      <c r="G81" s="34">
        <v>8</v>
      </c>
      <c r="H81" s="35">
        <f t="shared" si="14"/>
        <v>20</v>
      </c>
      <c r="I81" s="36">
        <f t="shared" si="18"/>
        <v>7632</v>
      </c>
      <c r="J81" s="36">
        <f t="shared" si="19"/>
        <v>5088</v>
      </c>
      <c r="K81" s="36">
        <f t="shared" si="20"/>
        <v>12720</v>
      </c>
      <c r="L81" s="36">
        <f t="shared" si="21"/>
        <v>7267</v>
      </c>
      <c r="M81" s="37">
        <f t="shared" si="22"/>
        <v>363</v>
      </c>
      <c r="N81" s="36">
        <f t="shared" si="23"/>
        <v>5090</v>
      </c>
      <c r="O81" s="36">
        <f t="shared" si="27"/>
        <v>12720</v>
      </c>
      <c r="P81" s="37">
        <f t="shared" si="15"/>
        <v>872</v>
      </c>
      <c r="Q81" s="37">
        <f t="shared" si="24"/>
        <v>200</v>
      </c>
      <c r="R81" s="37">
        <f t="shared" si="25"/>
        <v>95</v>
      </c>
      <c r="S81" s="37"/>
      <c r="T81" s="31"/>
      <c r="U81" s="38"/>
      <c r="V81" s="38"/>
      <c r="W81" s="31"/>
      <c r="X81" s="37">
        <f t="shared" si="16"/>
        <v>1167</v>
      </c>
      <c r="Y81" s="39">
        <f t="shared" si="17"/>
        <v>11553</v>
      </c>
      <c r="Z81" s="40">
        <v>500</v>
      </c>
      <c r="AA81" s="39">
        <f t="shared" si="26"/>
        <v>11053</v>
      </c>
    </row>
    <row r="82" spans="1:27">
      <c r="A82" s="28">
        <v>72</v>
      </c>
      <c r="B82" s="47">
        <v>101424675655</v>
      </c>
      <c r="C82" s="30">
        <v>3311838973</v>
      </c>
      <c r="D82" s="31" t="s">
        <v>100</v>
      </c>
      <c r="E82" s="32">
        <v>636</v>
      </c>
      <c r="F82" s="33">
        <v>18</v>
      </c>
      <c r="G82" s="34">
        <v>7</v>
      </c>
      <c r="H82" s="35">
        <f t="shared" si="14"/>
        <v>25</v>
      </c>
      <c r="I82" s="36">
        <f t="shared" si="18"/>
        <v>11448</v>
      </c>
      <c r="J82" s="36">
        <f t="shared" si="19"/>
        <v>4452</v>
      </c>
      <c r="K82" s="36">
        <f t="shared" si="20"/>
        <v>15900</v>
      </c>
      <c r="L82" s="36">
        <f t="shared" si="21"/>
        <v>10901</v>
      </c>
      <c r="M82" s="37">
        <f t="shared" si="22"/>
        <v>545</v>
      </c>
      <c r="N82" s="36">
        <f t="shared" si="23"/>
        <v>4454</v>
      </c>
      <c r="O82" s="36">
        <f t="shared" si="27"/>
        <v>15900</v>
      </c>
      <c r="P82" s="37">
        <f t="shared" si="15"/>
        <v>1308</v>
      </c>
      <c r="Q82" s="37">
        <f t="shared" si="24"/>
        <v>200</v>
      </c>
      <c r="R82" s="37">
        <f t="shared" si="25"/>
        <v>119</v>
      </c>
      <c r="S82" s="37"/>
      <c r="T82" s="31"/>
      <c r="U82" s="38"/>
      <c r="V82" s="38"/>
      <c r="W82" s="31"/>
      <c r="X82" s="37">
        <f t="shared" si="16"/>
        <v>1627</v>
      </c>
      <c r="Y82" s="39">
        <f t="shared" si="17"/>
        <v>14273</v>
      </c>
      <c r="Z82" s="40">
        <v>500</v>
      </c>
      <c r="AA82" s="39">
        <f t="shared" si="26"/>
        <v>13773</v>
      </c>
    </row>
    <row r="83" spans="1:27">
      <c r="A83" s="28">
        <v>73</v>
      </c>
      <c r="B83" s="47">
        <v>101235372414</v>
      </c>
      <c r="C83" s="30">
        <v>3315883972</v>
      </c>
      <c r="D83" s="31" t="s">
        <v>101</v>
      </c>
      <c r="E83" s="32">
        <v>636</v>
      </c>
      <c r="F83" s="33">
        <v>9</v>
      </c>
      <c r="G83" s="34">
        <v>6</v>
      </c>
      <c r="H83" s="35">
        <f t="shared" si="14"/>
        <v>15</v>
      </c>
      <c r="I83" s="36">
        <f t="shared" si="18"/>
        <v>5724</v>
      </c>
      <c r="J83" s="36">
        <f t="shared" si="19"/>
        <v>3816</v>
      </c>
      <c r="K83" s="36">
        <f t="shared" si="20"/>
        <v>9540</v>
      </c>
      <c r="L83" s="36">
        <f t="shared" si="21"/>
        <v>5451</v>
      </c>
      <c r="M83" s="37">
        <f t="shared" si="22"/>
        <v>273</v>
      </c>
      <c r="N83" s="36">
        <f t="shared" si="23"/>
        <v>3816</v>
      </c>
      <c r="O83" s="36">
        <f t="shared" si="27"/>
        <v>9540</v>
      </c>
      <c r="P83" s="37">
        <f t="shared" si="15"/>
        <v>654</v>
      </c>
      <c r="Q83" s="37">
        <f t="shared" si="24"/>
        <v>175</v>
      </c>
      <c r="R83" s="37">
        <f t="shared" si="25"/>
        <v>72</v>
      </c>
      <c r="S83" s="37"/>
      <c r="T83" s="31"/>
      <c r="U83" s="38"/>
      <c r="V83" s="38"/>
      <c r="W83" s="31"/>
      <c r="X83" s="37">
        <f t="shared" si="16"/>
        <v>901</v>
      </c>
      <c r="Y83" s="39">
        <f t="shared" si="17"/>
        <v>8639</v>
      </c>
      <c r="Z83" s="40">
        <v>500</v>
      </c>
      <c r="AA83" s="39">
        <f t="shared" si="26"/>
        <v>8139</v>
      </c>
    </row>
    <row r="84" spans="1:27">
      <c r="A84" s="28">
        <v>74</v>
      </c>
      <c r="B84" s="47">
        <v>101432431093</v>
      </c>
      <c r="C84" s="30">
        <v>3316592493</v>
      </c>
      <c r="D84" s="31" t="s">
        <v>102</v>
      </c>
      <c r="E84" s="32">
        <v>636</v>
      </c>
      <c r="F84" s="33">
        <v>17</v>
      </c>
      <c r="G84" s="34">
        <v>7</v>
      </c>
      <c r="H84" s="35">
        <f t="shared" si="14"/>
        <v>24</v>
      </c>
      <c r="I84" s="36">
        <f t="shared" si="18"/>
        <v>10812</v>
      </c>
      <c r="J84" s="36">
        <f t="shared" si="19"/>
        <v>4452</v>
      </c>
      <c r="K84" s="36">
        <f t="shared" si="20"/>
        <v>15264</v>
      </c>
      <c r="L84" s="36">
        <f t="shared" si="21"/>
        <v>10295</v>
      </c>
      <c r="M84" s="37">
        <f t="shared" si="22"/>
        <v>515</v>
      </c>
      <c r="N84" s="36">
        <f t="shared" si="23"/>
        <v>4454</v>
      </c>
      <c r="O84" s="36">
        <f t="shared" si="27"/>
        <v>15264</v>
      </c>
      <c r="P84" s="37">
        <f t="shared" si="15"/>
        <v>1235</v>
      </c>
      <c r="Q84" s="37">
        <f t="shared" si="24"/>
        <v>200</v>
      </c>
      <c r="R84" s="37">
        <f t="shared" si="25"/>
        <v>114</v>
      </c>
      <c r="S84" s="37"/>
      <c r="T84" s="31"/>
      <c r="U84" s="38"/>
      <c r="V84" s="38"/>
      <c r="W84" s="31"/>
      <c r="X84" s="37">
        <f t="shared" si="16"/>
        <v>1549</v>
      </c>
      <c r="Y84" s="39">
        <f t="shared" si="17"/>
        <v>13715</v>
      </c>
      <c r="Z84" s="40">
        <v>500</v>
      </c>
      <c r="AA84" s="39">
        <f t="shared" si="26"/>
        <v>13215</v>
      </c>
    </row>
    <row r="85" spans="1:27">
      <c r="A85" s="28">
        <v>75</v>
      </c>
      <c r="B85" s="47">
        <v>102219962850</v>
      </c>
      <c r="C85" s="30">
        <v>3317919359</v>
      </c>
      <c r="D85" s="31" t="s">
        <v>103</v>
      </c>
      <c r="E85" s="32">
        <v>636</v>
      </c>
      <c r="F85" s="33">
        <v>18</v>
      </c>
      <c r="G85" s="34">
        <v>7</v>
      </c>
      <c r="H85" s="35">
        <f t="shared" si="14"/>
        <v>25</v>
      </c>
      <c r="I85" s="36">
        <f t="shared" si="18"/>
        <v>11448</v>
      </c>
      <c r="J85" s="36">
        <f t="shared" si="19"/>
        <v>4452</v>
      </c>
      <c r="K85" s="36">
        <f t="shared" si="20"/>
        <v>15900</v>
      </c>
      <c r="L85" s="36">
        <f t="shared" si="21"/>
        <v>10901</v>
      </c>
      <c r="M85" s="37">
        <f t="shared" si="22"/>
        <v>545</v>
      </c>
      <c r="N85" s="36">
        <f t="shared" si="23"/>
        <v>4454</v>
      </c>
      <c r="O85" s="36">
        <f t="shared" si="27"/>
        <v>15900</v>
      </c>
      <c r="P85" s="37">
        <f t="shared" si="15"/>
        <v>1308</v>
      </c>
      <c r="Q85" s="37">
        <f t="shared" si="24"/>
        <v>200</v>
      </c>
      <c r="R85" s="37">
        <f t="shared" si="25"/>
        <v>119</v>
      </c>
      <c r="S85" s="37"/>
      <c r="T85" s="31"/>
      <c r="U85" s="38"/>
      <c r="V85" s="38"/>
      <c r="W85" s="31"/>
      <c r="X85" s="37">
        <f t="shared" si="16"/>
        <v>1627</v>
      </c>
      <c r="Y85" s="39">
        <f t="shared" si="17"/>
        <v>14273</v>
      </c>
      <c r="Z85" s="40">
        <v>500</v>
      </c>
      <c r="AA85" s="39">
        <f t="shared" si="26"/>
        <v>13773</v>
      </c>
    </row>
    <row r="86" spans="1:27">
      <c r="A86" s="28">
        <v>76</v>
      </c>
      <c r="B86" s="47">
        <v>102267132379</v>
      </c>
      <c r="C86" s="30">
        <v>3318143312</v>
      </c>
      <c r="D86" s="31" t="s">
        <v>104</v>
      </c>
      <c r="E86" s="32">
        <v>636</v>
      </c>
      <c r="F86" s="42">
        <v>15</v>
      </c>
      <c r="G86" s="34">
        <v>8</v>
      </c>
      <c r="H86" s="35">
        <f t="shared" si="14"/>
        <v>23</v>
      </c>
      <c r="I86" s="36">
        <f t="shared" si="18"/>
        <v>9540</v>
      </c>
      <c r="J86" s="36">
        <f t="shared" si="19"/>
        <v>5088</v>
      </c>
      <c r="K86" s="36">
        <f t="shared" si="20"/>
        <v>14628</v>
      </c>
      <c r="L86" s="36">
        <f t="shared" si="21"/>
        <v>9084</v>
      </c>
      <c r="M86" s="37">
        <f t="shared" si="22"/>
        <v>454</v>
      </c>
      <c r="N86" s="36">
        <f t="shared" si="23"/>
        <v>5090</v>
      </c>
      <c r="O86" s="36">
        <f t="shared" si="27"/>
        <v>14628</v>
      </c>
      <c r="P86" s="37">
        <f t="shared" si="15"/>
        <v>1090</v>
      </c>
      <c r="Q86" s="37">
        <f t="shared" si="24"/>
        <v>200</v>
      </c>
      <c r="R86" s="37">
        <f t="shared" si="25"/>
        <v>110</v>
      </c>
      <c r="S86" s="37"/>
      <c r="T86" s="31"/>
      <c r="U86" s="38"/>
      <c r="V86" s="38"/>
      <c r="W86" s="31"/>
      <c r="X86" s="37">
        <f t="shared" si="16"/>
        <v>1400</v>
      </c>
      <c r="Y86" s="39">
        <f t="shared" si="17"/>
        <v>13228</v>
      </c>
      <c r="Z86" s="40">
        <v>500</v>
      </c>
      <c r="AA86" s="39">
        <f t="shared" si="26"/>
        <v>12728</v>
      </c>
    </row>
    <row r="87" spans="1:27">
      <c r="A87" s="28">
        <v>77</v>
      </c>
      <c r="B87" s="47">
        <v>102261619396</v>
      </c>
      <c r="C87" s="30">
        <v>3318097817</v>
      </c>
      <c r="D87" s="31" t="s">
        <v>105</v>
      </c>
      <c r="E87" s="32">
        <v>636</v>
      </c>
      <c r="F87" s="42">
        <v>14</v>
      </c>
      <c r="G87" s="34">
        <v>8</v>
      </c>
      <c r="H87" s="35">
        <f t="shared" si="14"/>
        <v>22</v>
      </c>
      <c r="I87" s="36">
        <f t="shared" si="18"/>
        <v>8904</v>
      </c>
      <c r="J87" s="36">
        <f t="shared" si="19"/>
        <v>5088</v>
      </c>
      <c r="K87" s="36">
        <f t="shared" si="20"/>
        <v>13992</v>
      </c>
      <c r="L87" s="36">
        <f t="shared" si="21"/>
        <v>8479</v>
      </c>
      <c r="M87" s="37">
        <f t="shared" si="22"/>
        <v>424</v>
      </c>
      <c r="N87" s="36">
        <f t="shared" si="23"/>
        <v>5089</v>
      </c>
      <c r="O87" s="36">
        <f t="shared" si="27"/>
        <v>13992</v>
      </c>
      <c r="P87" s="37">
        <f t="shared" si="15"/>
        <v>1017</v>
      </c>
      <c r="Q87" s="37">
        <f t="shared" si="24"/>
        <v>200</v>
      </c>
      <c r="R87" s="37">
        <f t="shared" si="25"/>
        <v>105</v>
      </c>
      <c r="S87" s="37"/>
      <c r="T87" s="31"/>
      <c r="U87" s="38"/>
      <c r="V87" s="38"/>
      <c r="W87" s="31"/>
      <c r="X87" s="37">
        <f t="shared" si="16"/>
        <v>1322</v>
      </c>
      <c r="Y87" s="39">
        <f t="shared" si="17"/>
        <v>12670</v>
      </c>
      <c r="Z87" s="40">
        <v>500</v>
      </c>
      <c r="AA87" s="39">
        <f t="shared" si="26"/>
        <v>12170</v>
      </c>
    </row>
    <row r="88" spans="1:27">
      <c r="A88" s="28">
        <v>78</v>
      </c>
      <c r="B88" s="47">
        <v>102260241245</v>
      </c>
      <c r="C88" s="30">
        <v>3318077821</v>
      </c>
      <c r="D88" s="31" t="s">
        <v>106</v>
      </c>
      <c r="E88" s="32">
        <v>636</v>
      </c>
      <c r="F88" s="33">
        <v>13</v>
      </c>
      <c r="G88" s="34">
        <v>8</v>
      </c>
      <c r="H88" s="35">
        <f t="shared" si="14"/>
        <v>21</v>
      </c>
      <c r="I88" s="36">
        <f t="shared" si="18"/>
        <v>8268</v>
      </c>
      <c r="J88" s="36">
        <f t="shared" si="19"/>
        <v>5088</v>
      </c>
      <c r="K88" s="36">
        <f t="shared" si="20"/>
        <v>13356</v>
      </c>
      <c r="L88" s="36">
        <f t="shared" si="21"/>
        <v>7873</v>
      </c>
      <c r="M88" s="37">
        <f t="shared" si="22"/>
        <v>394</v>
      </c>
      <c r="N88" s="36">
        <f t="shared" si="23"/>
        <v>5089</v>
      </c>
      <c r="O88" s="36">
        <f t="shared" si="27"/>
        <v>13356</v>
      </c>
      <c r="P88" s="37">
        <f t="shared" si="15"/>
        <v>945</v>
      </c>
      <c r="Q88" s="37">
        <f t="shared" si="24"/>
        <v>200</v>
      </c>
      <c r="R88" s="37">
        <f t="shared" si="25"/>
        <v>100</v>
      </c>
      <c r="S88" s="37"/>
      <c r="T88" s="31"/>
      <c r="U88" s="38"/>
      <c r="V88" s="38"/>
      <c r="W88" s="31"/>
      <c r="X88" s="37">
        <f t="shared" si="16"/>
        <v>1245</v>
      </c>
      <c r="Y88" s="39">
        <f t="shared" si="17"/>
        <v>12111</v>
      </c>
      <c r="Z88" s="40">
        <v>500</v>
      </c>
      <c r="AA88" s="39">
        <f t="shared" si="26"/>
        <v>11611</v>
      </c>
    </row>
    <row r="89" spans="1:27">
      <c r="A89" s="28">
        <v>79</v>
      </c>
      <c r="B89" s="47">
        <v>102192447029</v>
      </c>
      <c r="C89" s="30">
        <v>3318084503</v>
      </c>
      <c r="D89" s="31" t="s">
        <v>107</v>
      </c>
      <c r="E89" s="32">
        <v>636</v>
      </c>
      <c r="F89" s="33">
        <v>17</v>
      </c>
      <c r="G89" s="34">
        <v>7</v>
      </c>
      <c r="H89" s="35">
        <f t="shared" si="14"/>
        <v>24</v>
      </c>
      <c r="I89" s="36">
        <f t="shared" si="18"/>
        <v>10812</v>
      </c>
      <c r="J89" s="36">
        <f t="shared" si="19"/>
        <v>4452</v>
      </c>
      <c r="K89" s="36">
        <f t="shared" si="20"/>
        <v>15264</v>
      </c>
      <c r="L89" s="36">
        <f t="shared" si="21"/>
        <v>10295</v>
      </c>
      <c r="M89" s="37">
        <f t="shared" si="22"/>
        <v>515</v>
      </c>
      <c r="N89" s="36">
        <f t="shared" si="23"/>
        <v>4454</v>
      </c>
      <c r="O89" s="36">
        <f t="shared" si="27"/>
        <v>15264</v>
      </c>
      <c r="P89" s="37">
        <f t="shared" si="15"/>
        <v>1235</v>
      </c>
      <c r="Q89" s="37">
        <f t="shared" si="24"/>
        <v>200</v>
      </c>
      <c r="R89" s="37">
        <f t="shared" si="25"/>
        <v>114</v>
      </c>
      <c r="S89" s="37"/>
      <c r="T89" s="31"/>
      <c r="U89" s="38"/>
      <c r="V89" s="63"/>
      <c r="W89" s="31"/>
      <c r="X89" s="37">
        <f t="shared" si="16"/>
        <v>1549</v>
      </c>
      <c r="Y89" s="39">
        <f t="shared" si="17"/>
        <v>13715</v>
      </c>
      <c r="Z89" s="40">
        <v>500</v>
      </c>
      <c r="AA89" s="39">
        <f t="shared" si="26"/>
        <v>13215</v>
      </c>
    </row>
    <row r="90" spans="1:27">
      <c r="A90" s="28">
        <v>80</v>
      </c>
      <c r="B90" s="47">
        <v>102259643488</v>
      </c>
      <c r="C90" s="45">
        <v>3318084644</v>
      </c>
      <c r="D90" s="31" t="s">
        <v>108</v>
      </c>
      <c r="E90" s="32">
        <v>636</v>
      </c>
      <c r="F90" s="42">
        <v>17</v>
      </c>
      <c r="G90" s="34">
        <v>7</v>
      </c>
      <c r="H90" s="35">
        <f t="shared" si="14"/>
        <v>24</v>
      </c>
      <c r="I90" s="36">
        <f t="shared" si="18"/>
        <v>10812</v>
      </c>
      <c r="J90" s="36">
        <f t="shared" si="19"/>
        <v>4452</v>
      </c>
      <c r="K90" s="36">
        <f t="shared" si="20"/>
        <v>15264</v>
      </c>
      <c r="L90" s="36">
        <f t="shared" si="21"/>
        <v>10295</v>
      </c>
      <c r="M90" s="37">
        <f t="shared" si="22"/>
        <v>515</v>
      </c>
      <c r="N90" s="36">
        <f t="shared" si="23"/>
        <v>4454</v>
      </c>
      <c r="O90" s="36">
        <f t="shared" si="27"/>
        <v>15264</v>
      </c>
      <c r="P90" s="37">
        <f t="shared" si="15"/>
        <v>1235</v>
      </c>
      <c r="Q90" s="37">
        <f t="shared" si="24"/>
        <v>200</v>
      </c>
      <c r="R90" s="37">
        <f t="shared" si="25"/>
        <v>114</v>
      </c>
      <c r="S90" s="37"/>
      <c r="T90" s="31"/>
      <c r="U90" s="38"/>
      <c r="V90" s="63"/>
      <c r="W90" s="31"/>
      <c r="X90" s="37">
        <f t="shared" si="16"/>
        <v>1549</v>
      </c>
      <c r="Y90" s="39">
        <f t="shared" si="17"/>
        <v>13715</v>
      </c>
      <c r="Z90" s="40">
        <v>500</v>
      </c>
      <c r="AA90" s="39">
        <f t="shared" si="26"/>
        <v>13215</v>
      </c>
    </row>
    <row r="91" spans="1:27">
      <c r="A91" s="28">
        <v>81</v>
      </c>
      <c r="B91" s="47">
        <v>101424676055</v>
      </c>
      <c r="C91" s="30">
        <v>3318058546</v>
      </c>
      <c r="D91" s="31" t="s">
        <v>109</v>
      </c>
      <c r="E91" s="32">
        <v>636</v>
      </c>
      <c r="F91" s="33">
        <v>13</v>
      </c>
      <c r="G91" s="34">
        <v>8</v>
      </c>
      <c r="H91" s="35">
        <f t="shared" si="14"/>
        <v>21</v>
      </c>
      <c r="I91" s="36">
        <f t="shared" si="18"/>
        <v>8268</v>
      </c>
      <c r="J91" s="36">
        <f t="shared" si="19"/>
        <v>5088</v>
      </c>
      <c r="K91" s="36">
        <f t="shared" si="20"/>
        <v>13356</v>
      </c>
      <c r="L91" s="36">
        <f t="shared" si="21"/>
        <v>7873</v>
      </c>
      <c r="M91" s="37">
        <f t="shared" si="22"/>
        <v>394</v>
      </c>
      <c r="N91" s="36">
        <f t="shared" si="23"/>
        <v>5089</v>
      </c>
      <c r="O91" s="36">
        <f t="shared" si="27"/>
        <v>13356</v>
      </c>
      <c r="P91" s="37">
        <f t="shared" si="15"/>
        <v>945</v>
      </c>
      <c r="Q91" s="37">
        <f t="shared" si="24"/>
        <v>200</v>
      </c>
      <c r="R91" s="37">
        <f t="shared" si="25"/>
        <v>100</v>
      </c>
      <c r="S91" s="37"/>
      <c r="T91" s="31"/>
      <c r="U91" s="38"/>
      <c r="V91" s="63"/>
      <c r="W91" s="31"/>
      <c r="X91" s="37">
        <f t="shared" si="16"/>
        <v>1245</v>
      </c>
      <c r="Y91" s="39">
        <f t="shared" si="17"/>
        <v>12111</v>
      </c>
      <c r="Z91" s="40">
        <v>500</v>
      </c>
      <c r="AA91" s="39">
        <f t="shared" si="26"/>
        <v>11611</v>
      </c>
    </row>
    <row r="92" spans="1:27">
      <c r="A92" s="28">
        <v>82</v>
      </c>
      <c r="B92" s="47">
        <v>101281737627</v>
      </c>
      <c r="C92" s="45">
        <v>3315008810</v>
      </c>
      <c r="D92" s="31" t="s">
        <v>110</v>
      </c>
      <c r="E92" s="32">
        <v>636</v>
      </c>
      <c r="F92" s="33">
        <v>9</v>
      </c>
      <c r="G92" s="34">
        <v>6</v>
      </c>
      <c r="H92" s="35">
        <f t="shared" si="14"/>
        <v>15</v>
      </c>
      <c r="I92" s="36">
        <f t="shared" si="18"/>
        <v>5724</v>
      </c>
      <c r="J92" s="36">
        <f t="shared" si="19"/>
        <v>3816</v>
      </c>
      <c r="K92" s="36">
        <f t="shared" si="20"/>
        <v>9540</v>
      </c>
      <c r="L92" s="36">
        <f t="shared" si="21"/>
        <v>5451</v>
      </c>
      <c r="M92" s="37">
        <f t="shared" si="22"/>
        <v>273</v>
      </c>
      <c r="N92" s="36">
        <f t="shared" si="23"/>
        <v>3816</v>
      </c>
      <c r="O92" s="36">
        <f t="shared" si="27"/>
        <v>9540</v>
      </c>
      <c r="P92" s="37">
        <f t="shared" si="15"/>
        <v>654</v>
      </c>
      <c r="Q92" s="37">
        <f t="shared" si="24"/>
        <v>175</v>
      </c>
      <c r="R92" s="37">
        <f t="shared" si="25"/>
        <v>72</v>
      </c>
      <c r="S92" s="37"/>
      <c r="T92" s="31"/>
      <c r="U92" s="63"/>
      <c r="V92" s="63"/>
      <c r="W92" s="31"/>
      <c r="X92" s="37">
        <f t="shared" si="16"/>
        <v>901</v>
      </c>
      <c r="Y92" s="39">
        <f t="shared" si="17"/>
        <v>8639</v>
      </c>
      <c r="Z92" s="40">
        <v>500</v>
      </c>
      <c r="AA92" s="39">
        <f t="shared" si="26"/>
        <v>8139</v>
      </c>
    </row>
    <row r="93" spans="1:27">
      <c r="A93" s="28">
        <v>83</v>
      </c>
      <c r="B93" s="47">
        <v>101591620448</v>
      </c>
      <c r="C93" s="30">
        <v>3311921178</v>
      </c>
      <c r="D93" s="31" t="s">
        <v>111</v>
      </c>
      <c r="E93" s="32">
        <v>636</v>
      </c>
      <c r="F93" s="42">
        <v>14</v>
      </c>
      <c r="G93" s="34">
        <v>8</v>
      </c>
      <c r="H93" s="35">
        <f t="shared" si="14"/>
        <v>22</v>
      </c>
      <c r="I93" s="36">
        <f t="shared" si="18"/>
        <v>8904</v>
      </c>
      <c r="J93" s="36">
        <f t="shared" si="19"/>
        <v>5088</v>
      </c>
      <c r="K93" s="36">
        <f t="shared" si="20"/>
        <v>13992</v>
      </c>
      <c r="L93" s="36">
        <f t="shared" si="21"/>
        <v>8479</v>
      </c>
      <c r="M93" s="37">
        <f t="shared" si="22"/>
        <v>424</v>
      </c>
      <c r="N93" s="36">
        <f t="shared" si="23"/>
        <v>5089</v>
      </c>
      <c r="O93" s="36">
        <f t="shared" si="27"/>
        <v>13992</v>
      </c>
      <c r="P93" s="37">
        <f t="shared" si="15"/>
        <v>1017</v>
      </c>
      <c r="Q93" s="37">
        <f t="shared" si="24"/>
        <v>200</v>
      </c>
      <c r="R93" s="37">
        <f t="shared" si="25"/>
        <v>105</v>
      </c>
      <c r="S93" s="37"/>
      <c r="T93" s="31"/>
      <c r="U93" s="63"/>
      <c r="V93" s="63"/>
      <c r="W93" s="31"/>
      <c r="X93" s="37">
        <f t="shared" si="16"/>
        <v>1322</v>
      </c>
      <c r="Y93" s="39">
        <f t="shared" si="17"/>
        <v>12670</v>
      </c>
      <c r="Z93" s="40">
        <v>500</v>
      </c>
      <c r="AA93" s="39">
        <f t="shared" si="26"/>
        <v>12170</v>
      </c>
    </row>
    <row r="94" spans="1:27">
      <c r="A94" s="28">
        <v>84</v>
      </c>
      <c r="B94" s="29">
        <v>101807758862</v>
      </c>
      <c r="C94" s="64">
        <v>3313837818</v>
      </c>
      <c r="D94" s="31" t="s">
        <v>112</v>
      </c>
      <c r="E94" s="32">
        <v>636</v>
      </c>
      <c r="F94" s="33">
        <v>14</v>
      </c>
      <c r="G94" s="34">
        <v>8</v>
      </c>
      <c r="H94" s="35">
        <f t="shared" si="14"/>
        <v>22</v>
      </c>
      <c r="I94" s="36">
        <f t="shared" si="18"/>
        <v>8904</v>
      </c>
      <c r="J94" s="36">
        <f t="shared" si="19"/>
        <v>5088</v>
      </c>
      <c r="K94" s="36">
        <f t="shared" si="20"/>
        <v>13992</v>
      </c>
      <c r="L94" s="36">
        <f t="shared" si="21"/>
        <v>8479</v>
      </c>
      <c r="M94" s="37">
        <f t="shared" si="22"/>
        <v>424</v>
      </c>
      <c r="N94" s="36">
        <f t="shared" si="23"/>
        <v>5089</v>
      </c>
      <c r="O94" s="36">
        <f t="shared" si="27"/>
        <v>13992</v>
      </c>
      <c r="P94" s="37">
        <f t="shared" si="15"/>
        <v>1017</v>
      </c>
      <c r="Q94" s="37">
        <f t="shared" si="24"/>
        <v>200</v>
      </c>
      <c r="R94" s="37">
        <f t="shared" si="25"/>
        <v>105</v>
      </c>
      <c r="S94" s="37"/>
      <c r="T94" s="31"/>
      <c r="U94" s="63"/>
      <c r="V94" s="63"/>
      <c r="W94" s="31"/>
      <c r="X94" s="37">
        <f t="shared" si="16"/>
        <v>1322</v>
      </c>
      <c r="Y94" s="39">
        <f t="shared" si="17"/>
        <v>12670</v>
      </c>
      <c r="Z94" s="40">
        <v>500</v>
      </c>
      <c r="AA94" s="39">
        <f t="shared" si="26"/>
        <v>12170</v>
      </c>
    </row>
    <row r="95" spans="1:27">
      <c r="A95" s="28">
        <v>85</v>
      </c>
      <c r="B95" s="48">
        <v>102146549923</v>
      </c>
      <c r="C95" s="45">
        <v>3317096013</v>
      </c>
      <c r="D95" s="31" t="s">
        <v>113</v>
      </c>
      <c r="E95" s="32">
        <v>636</v>
      </c>
      <c r="F95" s="33">
        <v>18</v>
      </c>
      <c r="G95" s="34">
        <v>7</v>
      </c>
      <c r="H95" s="35">
        <f t="shared" si="14"/>
        <v>25</v>
      </c>
      <c r="I95" s="36">
        <f t="shared" si="18"/>
        <v>11448</v>
      </c>
      <c r="J95" s="36">
        <f t="shared" si="19"/>
        <v>4452</v>
      </c>
      <c r="K95" s="36">
        <f t="shared" si="20"/>
        <v>15900</v>
      </c>
      <c r="L95" s="36">
        <f t="shared" si="21"/>
        <v>10901</v>
      </c>
      <c r="M95" s="37">
        <f t="shared" si="22"/>
        <v>545</v>
      </c>
      <c r="N95" s="36">
        <f t="shared" si="23"/>
        <v>4454</v>
      </c>
      <c r="O95" s="36">
        <f t="shared" si="27"/>
        <v>15900</v>
      </c>
      <c r="P95" s="37">
        <f t="shared" si="15"/>
        <v>1308</v>
      </c>
      <c r="Q95" s="37">
        <f t="shared" si="24"/>
        <v>200</v>
      </c>
      <c r="R95" s="37">
        <f t="shared" si="25"/>
        <v>119</v>
      </c>
      <c r="S95" s="37"/>
      <c r="T95" s="31"/>
      <c r="U95" s="63"/>
      <c r="V95" s="63"/>
      <c r="W95" s="31"/>
      <c r="X95" s="37">
        <f t="shared" si="16"/>
        <v>1627</v>
      </c>
      <c r="Y95" s="39">
        <f t="shared" si="17"/>
        <v>14273</v>
      </c>
      <c r="Z95" s="40">
        <v>500</v>
      </c>
      <c r="AA95" s="39">
        <f t="shared" si="26"/>
        <v>13773</v>
      </c>
    </row>
    <row r="96" spans="1:27">
      <c r="A96" s="28">
        <v>86</v>
      </c>
      <c r="B96" s="48">
        <v>102146553230</v>
      </c>
      <c r="C96" s="45">
        <v>3317715395</v>
      </c>
      <c r="D96" s="31" t="s">
        <v>114</v>
      </c>
      <c r="E96" s="32">
        <v>636</v>
      </c>
      <c r="F96" s="33">
        <v>18</v>
      </c>
      <c r="G96" s="34">
        <v>7</v>
      </c>
      <c r="H96" s="35">
        <f t="shared" si="14"/>
        <v>25</v>
      </c>
      <c r="I96" s="36">
        <f t="shared" si="18"/>
        <v>11448</v>
      </c>
      <c r="J96" s="36">
        <f t="shared" si="19"/>
        <v>4452</v>
      </c>
      <c r="K96" s="36">
        <f t="shared" si="20"/>
        <v>15900</v>
      </c>
      <c r="L96" s="36">
        <f t="shared" si="21"/>
        <v>10901</v>
      </c>
      <c r="M96" s="37">
        <f t="shared" si="22"/>
        <v>545</v>
      </c>
      <c r="N96" s="36">
        <f t="shared" si="23"/>
        <v>4454</v>
      </c>
      <c r="O96" s="36">
        <f t="shared" si="27"/>
        <v>15900</v>
      </c>
      <c r="P96" s="37">
        <f t="shared" si="15"/>
        <v>1308</v>
      </c>
      <c r="Q96" s="37">
        <f t="shared" si="24"/>
        <v>200</v>
      </c>
      <c r="R96" s="37">
        <f t="shared" si="25"/>
        <v>119</v>
      </c>
      <c r="S96" s="37"/>
      <c r="T96" s="31"/>
      <c r="U96" s="63"/>
      <c r="V96" s="63"/>
      <c r="W96" s="31"/>
      <c r="X96" s="37">
        <f t="shared" si="16"/>
        <v>1627</v>
      </c>
      <c r="Y96" s="39">
        <f t="shared" si="17"/>
        <v>14273</v>
      </c>
      <c r="Z96" s="40">
        <v>500</v>
      </c>
      <c r="AA96" s="39">
        <f t="shared" si="26"/>
        <v>13773</v>
      </c>
    </row>
    <row r="97" spans="1:27">
      <c r="A97" s="28">
        <v>87</v>
      </c>
      <c r="B97" s="48">
        <v>101241926666</v>
      </c>
      <c r="C97" s="45">
        <v>3315479975</v>
      </c>
      <c r="D97" s="31" t="s">
        <v>115</v>
      </c>
      <c r="E97" s="32">
        <v>636</v>
      </c>
      <c r="F97" s="33">
        <v>12</v>
      </c>
      <c r="G97" s="34">
        <v>8</v>
      </c>
      <c r="H97" s="35">
        <f>+F97+G97</f>
        <v>20</v>
      </c>
      <c r="I97" s="36">
        <f>ROUND(F97*E97,0)</f>
        <v>7632</v>
      </c>
      <c r="J97" s="36">
        <f>ROUND(E97*G97,0)</f>
        <v>5088</v>
      </c>
      <c r="K97" s="36">
        <f t="shared" si="20"/>
        <v>12720</v>
      </c>
      <c r="L97" s="36">
        <f>ROUND($L$4*F97,0)</f>
        <v>7267</v>
      </c>
      <c r="M97" s="37">
        <f t="shared" si="22"/>
        <v>363</v>
      </c>
      <c r="N97" s="36">
        <f>K97-L97-M97</f>
        <v>5090</v>
      </c>
      <c r="O97" s="36">
        <f>N97+M97+L97</f>
        <v>12720</v>
      </c>
      <c r="P97" s="37">
        <f>ROUND(L97*12%,0)</f>
        <v>872</v>
      </c>
      <c r="Q97" s="37">
        <f t="shared" si="24"/>
        <v>200</v>
      </c>
      <c r="R97" s="37">
        <f>ROUND(O97*0.75%,0)</f>
        <v>95</v>
      </c>
      <c r="S97" s="37"/>
      <c r="T97" s="31"/>
      <c r="U97" s="63"/>
      <c r="V97" s="63"/>
      <c r="W97" s="31"/>
      <c r="X97" s="37">
        <f>SUM(P97:W97)</f>
        <v>1167</v>
      </c>
      <c r="Y97" s="39">
        <f>O97-X97</f>
        <v>11553</v>
      </c>
      <c r="Z97" s="40">
        <v>500</v>
      </c>
      <c r="AA97" s="39">
        <f>Y97-Z97</f>
        <v>11053</v>
      </c>
    </row>
    <row r="98" spans="1:27">
      <c r="A98" s="28">
        <v>88</v>
      </c>
      <c r="B98" s="48">
        <v>101154454730</v>
      </c>
      <c r="C98" s="45">
        <v>3308695163</v>
      </c>
      <c r="D98" s="31" t="s">
        <v>116</v>
      </c>
      <c r="E98" s="32">
        <v>636</v>
      </c>
      <c r="F98" s="33">
        <v>7</v>
      </c>
      <c r="G98" s="34">
        <v>3</v>
      </c>
      <c r="H98" s="35">
        <f t="shared" si="14"/>
        <v>10</v>
      </c>
      <c r="I98" s="36">
        <f t="shared" si="18"/>
        <v>4452</v>
      </c>
      <c r="J98" s="36">
        <f t="shared" si="19"/>
        <v>1908</v>
      </c>
      <c r="K98" s="36">
        <f t="shared" si="20"/>
        <v>6360</v>
      </c>
      <c r="L98" s="36">
        <f t="shared" si="21"/>
        <v>4239</v>
      </c>
      <c r="M98" s="37">
        <f t="shared" si="22"/>
        <v>212</v>
      </c>
      <c r="N98" s="36">
        <f t="shared" si="23"/>
        <v>1909</v>
      </c>
      <c r="O98" s="36">
        <f t="shared" si="27"/>
        <v>6360</v>
      </c>
      <c r="P98" s="37">
        <f t="shared" si="15"/>
        <v>509</v>
      </c>
      <c r="Q98" s="37">
        <f t="shared" si="24"/>
        <v>0</v>
      </c>
      <c r="R98" s="37">
        <f t="shared" si="25"/>
        <v>48</v>
      </c>
      <c r="S98" s="37"/>
      <c r="T98" s="31"/>
      <c r="U98" s="63"/>
      <c r="V98" s="31"/>
      <c r="W98" s="31"/>
      <c r="X98" s="37">
        <f t="shared" si="16"/>
        <v>557</v>
      </c>
      <c r="Y98" s="39">
        <f t="shared" si="17"/>
        <v>5803</v>
      </c>
      <c r="Z98" s="40">
        <v>500</v>
      </c>
      <c r="AA98" s="39">
        <f t="shared" si="26"/>
        <v>5303</v>
      </c>
    </row>
    <row r="99" spans="1:27">
      <c r="A99" s="28">
        <v>89</v>
      </c>
      <c r="B99" s="48">
        <v>102067179570</v>
      </c>
      <c r="C99" s="45">
        <v>3316330556</v>
      </c>
      <c r="D99" s="31" t="s">
        <v>117</v>
      </c>
      <c r="E99" s="32">
        <v>636</v>
      </c>
      <c r="F99" s="33">
        <v>18</v>
      </c>
      <c r="G99" s="34">
        <v>7</v>
      </c>
      <c r="H99" s="35">
        <f t="shared" si="14"/>
        <v>25</v>
      </c>
      <c r="I99" s="36">
        <f t="shared" si="18"/>
        <v>11448</v>
      </c>
      <c r="J99" s="36">
        <f t="shared" si="19"/>
        <v>4452</v>
      </c>
      <c r="K99" s="36">
        <f t="shared" si="20"/>
        <v>15900</v>
      </c>
      <c r="L99" s="36">
        <f t="shared" si="21"/>
        <v>10901</v>
      </c>
      <c r="M99" s="37">
        <f t="shared" si="22"/>
        <v>545</v>
      </c>
      <c r="N99" s="36">
        <f t="shared" si="23"/>
        <v>4454</v>
      </c>
      <c r="O99" s="36">
        <f t="shared" si="27"/>
        <v>15900</v>
      </c>
      <c r="P99" s="37">
        <f t="shared" si="15"/>
        <v>1308</v>
      </c>
      <c r="Q99" s="37">
        <f t="shared" si="24"/>
        <v>200</v>
      </c>
      <c r="R99" s="37">
        <f t="shared" si="25"/>
        <v>119</v>
      </c>
      <c r="S99" s="37"/>
      <c r="T99" s="31"/>
      <c r="U99" s="63"/>
      <c r="V99" s="63"/>
      <c r="W99" s="31"/>
      <c r="X99" s="37">
        <f t="shared" si="16"/>
        <v>1627</v>
      </c>
      <c r="Y99" s="39">
        <f t="shared" si="17"/>
        <v>14273</v>
      </c>
      <c r="Z99" s="40">
        <v>500</v>
      </c>
      <c r="AA99" s="39">
        <f t="shared" si="26"/>
        <v>13773</v>
      </c>
    </row>
    <row r="100" spans="1:27">
      <c r="A100" s="28">
        <v>90</v>
      </c>
      <c r="B100" s="43" t="s">
        <v>118</v>
      </c>
      <c r="C100" s="45">
        <v>3318330920</v>
      </c>
      <c r="D100" s="65" t="s">
        <v>118</v>
      </c>
      <c r="E100" s="32">
        <v>636</v>
      </c>
      <c r="F100" s="33">
        <v>12</v>
      </c>
      <c r="G100" s="34">
        <v>8</v>
      </c>
      <c r="H100" s="35">
        <f t="shared" si="14"/>
        <v>20</v>
      </c>
      <c r="I100" s="36">
        <f t="shared" si="18"/>
        <v>7632</v>
      </c>
      <c r="J100" s="36">
        <f t="shared" si="19"/>
        <v>5088</v>
      </c>
      <c r="K100" s="36">
        <f t="shared" si="20"/>
        <v>12720</v>
      </c>
      <c r="L100" s="36">
        <f t="shared" si="21"/>
        <v>7267</v>
      </c>
      <c r="M100" s="37">
        <f t="shared" si="22"/>
        <v>363</v>
      </c>
      <c r="N100" s="36">
        <f t="shared" si="23"/>
        <v>5090</v>
      </c>
      <c r="O100" s="36">
        <f t="shared" si="27"/>
        <v>12720</v>
      </c>
      <c r="P100" s="37">
        <f t="shared" si="15"/>
        <v>872</v>
      </c>
      <c r="Q100" s="37">
        <f t="shared" si="24"/>
        <v>200</v>
      </c>
      <c r="R100" s="37">
        <f t="shared" si="25"/>
        <v>95</v>
      </c>
      <c r="S100" s="37"/>
      <c r="T100" s="31"/>
      <c r="U100" s="63"/>
      <c r="V100" s="63"/>
      <c r="W100" s="31"/>
      <c r="X100" s="37">
        <f t="shared" si="16"/>
        <v>1167</v>
      </c>
      <c r="Y100" s="39">
        <f t="shared" si="17"/>
        <v>11553</v>
      </c>
      <c r="Z100" s="40">
        <v>500</v>
      </c>
      <c r="AA100" s="39">
        <f t="shared" si="26"/>
        <v>11053</v>
      </c>
    </row>
    <row r="101" spans="1:27">
      <c r="A101" s="28">
        <v>91</v>
      </c>
      <c r="B101" s="66" t="s">
        <v>119</v>
      </c>
      <c r="C101" s="67">
        <v>3313170656</v>
      </c>
      <c r="D101" s="65" t="s">
        <v>119</v>
      </c>
      <c r="E101" s="32">
        <v>636</v>
      </c>
      <c r="F101" s="33">
        <v>2</v>
      </c>
      <c r="G101" s="34">
        <v>2</v>
      </c>
      <c r="H101" s="35">
        <f t="shared" si="14"/>
        <v>4</v>
      </c>
      <c r="I101" s="36">
        <f t="shared" si="18"/>
        <v>1272</v>
      </c>
      <c r="J101" s="36">
        <f t="shared" si="19"/>
        <v>1272</v>
      </c>
      <c r="K101" s="36">
        <f t="shared" si="20"/>
        <v>2544</v>
      </c>
      <c r="L101" s="36">
        <f t="shared" si="21"/>
        <v>1211</v>
      </c>
      <c r="M101" s="37">
        <f t="shared" si="22"/>
        <v>61</v>
      </c>
      <c r="N101" s="36">
        <f t="shared" si="23"/>
        <v>1272</v>
      </c>
      <c r="O101" s="36">
        <f t="shared" si="27"/>
        <v>2544</v>
      </c>
      <c r="P101" s="37">
        <f t="shared" si="15"/>
        <v>145</v>
      </c>
      <c r="Q101" s="37">
        <f t="shared" si="24"/>
        <v>0</v>
      </c>
      <c r="R101" s="37">
        <f t="shared" si="25"/>
        <v>19</v>
      </c>
      <c r="S101" s="37"/>
      <c r="T101" s="31"/>
      <c r="U101" s="63"/>
      <c r="V101" s="63"/>
      <c r="W101" s="31"/>
      <c r="X101" s="37">
        <f t="shared" si="16"/>
        <v>164</v>
      </c>
      <c r="Y101" s="39">
        <f t="shared" si="17"/>
        <v>2380</v>
      </c>
      <c r="Z101" s="40">
        <v>500</v>
      </c>
      <c r="AA101" s="39">
        <f t="shared" si="26"/>
        <v>1880</v>
      </c>
    </row>
    <row r="102" spans="1:27" ht="14.4">
      <c r="A102" s="28">
        <v>92</v>
      </c>
      <c r="B102" s="68" t="s">
        <v>120</v>
      </c>
      <c r="C102" s="43">
        <v>3318419564</v>
      </c>
      <c r="D102" s="65" t="s">
        <v>120</v>
      </c>
      <c r="E102" s="32">
        <v>636</v>
      </c>
      <c r="F102" s="33">
        <v>14</v>
      </c>
      <c r="G102" s="34">
        <v>8</v>
      </c>
      <c r="H102" s="35">
        <f t="shared" si="14"/>
        <v>22</v>
      </c>
      <c r="I102" s="36">
        <f t="shared" si="18"/>
        <v>8904</v>
      </c>
      <c r="J102" s="36">
        <f t="shared" si="19"/>
        <v>5088</v>
      </c>
      <c r="K102" s="36">
        <f t="shared" si="20"/>
        <v>13992</v>
      </c>
      <c r="L102" s="36">
        <f t="shared" si="21"/>
        <v>8479</v>
      </c>
      <c r="M102" s="37">
        <f t="shared" si="22"/>
        <v>424</v>
      </c>
      <c r="N102" s="36">
        <f t="shared" si="23"/>
        <v>5089</v>
      </c>
      <c r="O102" s="36">
        <f t="shared" si="27"/>
        <v>13992</v>
      </c>
      <c r="P102" s="37">
        <f t="shared" si="15"/>
        <v>1017</v>
      </c>
      <c r="Q102" s="37">
        <f t="shared" si="24"/>
        <v>200</v>
      </c>
      <c r="R102" s="37">
        <f t="shared" si="25"/>
        <v>105</v>
      </c>
      <c r="S102" s="37"/>
      <c r="T102" s="31"/>
      <c r="U102" s="63"/>
      <c r="V102" s="63"/>
      <c r="W102" s="31"/>
      <c r="X102" s="37">
        <f t="shared" si="16"/>
        <v>1322</v>
      </c>
      <c r="Y102" s="39">
        <f t="shared" si="17"/>
        <v>12670</v>
      </c>
      <c r="Z102" s="40">
        <v>500</v>
      </c>
      <c r="AA102" s="39">
        <f t="shared" si="26"/>
        <v>12170</v>
      </c>
    </row>
    <row r="103" spans="1:27">
      <c r="A103" s="28">
        <v>93</v>
      </c>
      <c r="B103" s="43" t="s">
        <v>121</v>
      </c>
      <c r="C103" s="43">
        <v>3318432596</v>
      </c>
      <c r="D103" s="69" t="s">
        <v>121</v>
      </c>
      <c r="E103" s="32">
        <v>636</v>
      </c>
      <c r="F103" s="33">
        <v>13</v>
      </c>
      <c r="G103" s="34">
        <v>8</v>
      </c>
      <c r="H103" s="35">
        <f t="shared" si="14"/>
        <v>21</v>
      </c>
      <c r="I103" s="36">
        <f t="shared" si="18"/>
        <v>8268</v>
      </c>
      <c r="J103" s="36">
        <f t="shared" si="19"/>
        <v>5088</v>
      </c>
      <c r="K103" s="36">
        <f t="shared" si="20"/>
        <v>13356</v>
      </c>
      <c r="L103" s="36">
        <f t="shared" si="21"/>
        <v>7873</v>
      </c>
      <c r="M103" s="37">
        <f t="shared" si="22"/>
        <v>394</v>
      </c>
      <c r="N103" s="36">
        <f t="shared" si="23"/>
        <v>5089</v>
      </c>
      <c r="O103" s="36">
        <f t="shared" si="27"/>
        <v>13356</v>
      </c>
      <c r="P103" s="37">
        <f t="shared" si="15"/>
        <v>945</v>
      </c>
      <c r="Q103" s="37">
        <f t="shared" si="24"/>
        <v>200</v>
      </c>
      <c r="R103" s="37">
        <f t="shared" si="25"/>
        <v>100</v>
      </c>
      <c r="S103" s="37"/>
      <c r="T103" s="31"/>
      <c r="U103" s="63"/>
      <c r="V103" s="31"/>
      <c r="W103" s="31"/>
      <c r="X103" s="37">
        <f t="shared" si="16"/>
        <v>1245</v>
      </c>
      <c r="Y103" s="39">
        <f t="shared" si="17"/>
        <v>12111</v>
      </c>
      <c r="Z103" s="40">
        <v>500</v>
      </c>
      <c r="AA103" s="39">
        <f t="shared" si="26"/>
        <v>11611</v>
      </c>
    </row>
    <row r="104" spans="1:27">
      <c r="A104" s="28">
        <v>94</v>
      </c>
      <c r="B104" s="70" t="s">
        <v>122</v>
      </c>
      <c r="C104" s="45">
        <v>3318521292</v>
      </c>
      <c r="D104" s="65" t="s">
        <v>122</v>
      </c>
      <c r="E104" s="32">
        <v>636</v>
      </c>
      <c r="F104" s="33">
        <v>9</v>
      </c>
      <c r="G104" s="34">
        <v>6</v>
      </c>
      <c r="H104" s="35">
        <f>+F104+G104</f>
        <v>15</v>
      </c>
      <c r="I104" s="36">
        <f>ROUND(F104*E104,0)</f>
        <v>5724</v>
      </c>
      <c r="J104" s="36">
        <f>ROUND(E104*G104,0)</f>
        <v>3816</v>
      </c>
      <c r="K104" s="36">
        <f t="shared" si="20"/>
        <v>9540</v>
      </c>
      <c r="L104" s="36">
        <f>ROUND($L$4*F104,0)</f>
        <v>5451</v>
      </c>
      <c r="M104" s="37">
        <f t="shared" si="22"/>
        <v>273</v>
      </c>
      <c r="N104" s="36">
        <f>K104-L104-M104</f>
        <v>3816</v>
      </c>
      <c r="O104" s="36">
        <f>N104+M104+L104</f>
        <v>9540</v>
      </c>
      <c r="P104" s="37">
        <f>ROUND(L104*12%,0)</f>
        <v>654</v>
      </c>
      <c r="Q104" s="37">
        <f t="shared" si="24"/>
        <v>175</v>
      </c>
      <c r="R104" s="37">
        <f>ROUND(O104*0.75%,0)</f>
        <v>72</v>
      </c>
      <c r="S104" s="37"/>
      <c r="T104" s="31"/>
      <c r="U104" s="63"/>
      <c r="V104" s="63"/>
      <c r="W104" s="31"/>
      <c r="X104" s="37">
        <f>SUM(P104:W104)</f>
        <v>901</v>
      </c>
      <c r="Y104" s="39">
        <f>O104-X104</f>
        <v>8639</v>
      </c>
      <c r="Z104" s="40">
        <v>500</v>
      </c>
      <c r="AA104" s="39">
        <f>Y104-Z104</f>
        <v>8139</v>
      </c>
    </row>
    <row r="105" spans="1:27">
      <c r="A105" s="28">
        <v>95</v>
      </c>
      <c r="B105" s="70" t="s">
        <v>123</v>
      </c>
      <c r="C105" s="45">
        <v>3318460591</v>
      </c>
      <c r="D105" s="65" t="s">
        <v>123</v>
      </c>
      <c r="E105" s="32">
        <v>636</v>
      </c>
      <c r="F105" s="33">
        <v>9</v>
      </c>
      <c r="G105" s="34">
        <v>6</v>
      </c>
      <c r="H105" s="35">
        <f>+F105+G105</f>
        <v>15</v>
      </c>
      <c r="I105" s="36">
        <f>ROUND(F105*E105,0)</f>
        <v>5724</v>
      </c>
      <c r="J105" s="36">
        <f>ROUND(E105*G105,0)</f>
        <v>3816</v>
      </c>
      <c r="K105" s="36">
        <f t="shared" si="20"/>
        <v>9540</v>
      </c>
      <c r="L105" s="36">
        <f>ROUND($L$4*F105,0)</f>
        <v>5451</v>
      </c>
      <c r="M105" s="37">
        <f t="shared" si="22"/>
        <v>273</v>
      </c>
      <c r="N105" s="36">
        <f>K105-L105-M105</f>
        <v>3816</v>
      </c>
      <c r="O105" s="36">
        <f>N105+M105+L105</f>
        <v>9540</v>
      </c>
      <c r="P105" s="37">
        <f>ROUND(L105*12%,0)</f>
        <v>654</v>
      </c>
      <c r="Q105" s="37">
        <f t="shared" si="24"/>
        <v>175</v>
      </c>
      <c r="R105" s="37">
        <f>ROUND(O105*0.75%,0)</f>
        <v>72</v>
      </c>
      <c r="S105" s="37"/>
      <c r="T105" s="31"/>
      <c r="U105" s="63"/>
      <c r="V105" s="63"/>
      <c r="W105" s="31"/>
      <c r="X105" s="37">
        <f>SUM(P105:W105)</f>
        <v>901</v>
      </c>
      <c r="Y105" s="39">
        <f>O105-X105</f>
        <v>8639</v>
      </c>
      <c r="Z105" s="40">
        <v>500</v>
      </c>
      <c r="AA105" s="39">
        <f>Y105-Z105</f>
        <v>8139</v>
      </c>
    </row>
    <row r="106" spans="1:27">
      <c r="A106" s="28">
        <v>96</v>
      </c>
      <c r="B106" s="70" t="s">
        <v>124</v>
      </c>
      <c r="C106" s="45">
        <v>3318468493</v>
      </c>
      <c r="D106" s="65" t="s">
        <v>124</v>
      </c>
      <c r="E106" s="32">
        <v>636</v>
      </c>
      <c r="F106" s="42">
        <v>11</v>
      </c>
      <c r="G106" s="34">
        <v>8</v>
      </c>
      <c r="H106" s="35">
        <f>+F106+G106</f>
        <v>19</v>
      </c>
      <c r="I106" s="36">
        <f>ROUND(F106*E106,0)</f>
        <v>6996</v>
      </c>
      <c r="J106" s="36">
        <f>ROUND(E106*G106,0)</f>
        <v>5088</v>
      </c>
      <c r="K106" s="36">
        <f t="shared" si="20"/>
        <v>12084</v>
      </c>
      <c r="L106" s="36">
        <f>ROUND($L$4*F106,0)</f>
        <v>6662</v>
      </c>
      <c r="M106" s="37">
        <f t="shared" si="22"/>
        <v>333</v>
      </c>
      <c r="N106" s="36">
        <f>K106-L106-M106</f>
        <v>5089</v>
      </c>
      <c r="O106" s="36">
        <f>N106+M106+L106</f>
        <v>12084</v>
      </c>
      <c r="P106" s="37">
        <f>ROUND(L106*12%,0)</f>
        <v>799</v>
      </c>
      <c r="Q106" s="37">
        <f t="shared" si="24"/>
        <v>200</v>
      </c>
      <c r="R106" s="37">
        <f>ROUND(O106*0.75%,0)</f>
        <v>91</v>
      </c>
      <c r="S106" s="37"/>
      <c r="T106" s="31"/>
      <c r="U106" s="63"/>
      <c r="V106" s="63"/>
      <c r="W106" s="31"/>
      <c r="X106" s="37">
        <f>SUM(P106:W106)</f>
        <v>1090</v>
      </c>
      <c r="Y106" s="39">
        <f>O106-X106</f>
        <v>10994</v>
      </c>
      <c r="Z106" s="40">
        <v>500</v>
      </c>
      <c r="AA106" s="39">
        <f>Y106-Z106</f>
        <v>10494</v>
      </c>
    </row>
    <row r="107" spans="1:27">
      <c r="A107" s="28">
        <v>97</v>
      </c>
      <c r="B107" s="70" t="s">
        <v>125</v>
      </c>
      <c r="C107" s="45">
        <v>3318468570</v>
      </c>
      <c r="D107" s="65" t="s">
        <v>125</v>
      </c>
      <c r="E107" s="32">
        <v>636</v>
      </c>
      <c r="F107" s="33">
        <v>12</v>
      </c>
      <c r="G107" s="34">
        <v>8</v>
      </c>
      <c r="H107" s="35">
        <f t="shared" ref="H107:H121" si="28">+F107+G107</f>
        <v>20</v>
      </c>
      <c r="I107" s="36">
        <f t="shared" ref="I107:I121" si="29">ROUND(F107*E107,0)</f>
        <v>7632</v>
      </c>
      <c r="J107" s="36">
        <f t="shared" ref="J107:J121" si="30">ROUND(E107*G107,0)</f>
        <v>5088</v>
      </c>
      <c r="K107" s="36">
        <f t="shared" si="20"/>
        <v>12720</v>
      </c>
      <c r="L107" s="36">
        <f t="shared" ref="L107:L121" si="31">ROUND($L$4*F107,0)</f>
        <v>7267</v>
      </c>
      <c r="M107" s="37">
        <f t="shared" si="22"/>
        <v>363</v>
      </c>
      <c r="N107" s="36">
        <f t="shared" ref="N107:N121" si="32">K107-L107-M107</f>
        <v>5090</v>
      </c>
      <c r="O107" s="36">
        <f t="shared" ref="O107:O121" si="33">N107+M107+L107</f>
        <v>12720</v>
      </c>
      <c r="P107" s="37">
        <f t="shared" ref="P107:P121" si="34">ROUND(L107*12%,0)</f>
        <v>872</v>
      </c>
      <c r="Q107" s="37">
        <f t="shared" si="24"/>
        <v>200</v>
      </c>
      <c r="R107" s="37">
        <f t="shared" ref="R107:R121" si="35">ROUND(O107*0.75%,0)</f>
        <v>95</v>
      </c>
      <c r="S107" s="37"/>
      <c r="T107" s="31"/>
      <c r="U107" s="63"/>
      <c r="V107" s="31"/>
      <c r="W107" s="31"/>
      <c r="X107" s="37">
        <f t="shared" ref="X107:X121" si="36">SUM(P107:W107)</f>
        <v>1167</v>
      </c>
      <c r="Y107" s="39">
        <f t="shared" ref="Y107:Y121" si="37">O107-X107</f>
        <v>11553</v>
      </c>
      <c r="Z107" s="40">
        <v>500</v>
      </c>
      <c r="AA107" s="39">
        <f t="shared" ref="AA107:AA121" si="38">Y107-Z107</f>
        <v>11053</v>
      </c>
    </row>
    <row r="108" spans="1:27">
      <c r="A108" s="28">
        <v>99</v>
      </c>
      <c r="B108" s="71" t="s">
        <v>126</v>
      </c>
      <c r="C108" s="67">
        <v>3318521941</v>
      </c>
      <c r="D108" s="65" t="s">
        <v>126</v>
      </c>
      <c r="E108" s="32">
        <v>636</v>
      </c>
      <c r="F108" s="33">
        <v>13</v>
      </c>
      <c r="G108" s="34">
        <v>8</v>
      </c>
      <c r="H108" s="35">
        <f t="shared" si="28"/>
        <v>21</v>
      </c>
      <c r="I108" s="36">
        <f t="shared" si="29"/>
        <v>8268</v>
      </c>
      <c r="J108" s="36">
        <f t="shared" si="30"/>
        <v>5088</v>
      </c>
      <c r="K108" s="36">
        <f t="shared" si="20"/>
        <v>13356</v>
      </c>
      <c r="L108" s="36">
        <f t="shared" si="31"/>
        <v>7873</v>
      </c>
      <c r="M108" s="37">
        <f t="shared" si="22"/>
        <v>394</v>
      </c>
      <c r="N108" s="36">
        <f t="shared" si="32"/>
        <v>5089</v>
      </c>
      <c r="O108" s="36">
        <f t="shared" si="33"/>
        <v>13356</v>
      </c>
      <c r="P108" s="37">
        <f t="shared" si="34"/>
        <v>945</v>
      </c>
      <c r="Q108" s="37">
        <f t="shared" si="24"/>
        <v>200</v>
      </c>
      <c r="R108" s="37">
        <f t="shared" si="35"/>
        <v>100</v>
      </c>
      <c r="S108" s="37"/>
      <c r="T108" s="31"/>
      <c r="U108" s="63"/>
      <c r="V108" s="63"/>
      <c r="W108" s="31"/>
      <c r="X108" s="37">
        <f t="shared" si="36"/>
        <v>1245</v>
      </c>
      <c r="Y108" s="39">
        <f t="shared" si="37"/>
        <v>12111</v>
      </c>
      <c r="Z108" s="40">
        <v>500</v>
      </c>
      <c r="AA108" s="39">
        <f t="shared" si="38"/>
        <v>11611</v>
      </c>
    </row>
    <row r="109" spans="1:27">
      <c r="A109" s="28">
        <v>100</v>
      </c>
      <c r="B109" s="70" t="s">
        <v>127</v>
      </c>
      <c r="C109" s="49">
        <v>3318522002</v>
      </c>
      <c r="D109" s="65" t="s">
        <v>127</v>
      </c>
      <c r="E109" s="32">
        <v>636</v>
      </c>
      <c r="F109" s="42">
        <v>11</v>
      </c>
      <c r="G109" s="34">
        <v>8</v>
      </c>
      <c r="H109" s="35">
        <f t="shared" si="28"/>
        <v>19</v>
      </c>
      <c r="I109" s="36">
        <f t="shared" si="29"/>
        <v>6996</v>
      </c>
      <c r="J109" s="36">
        <f t="shared" si="30"/>
        <v>5088</v>
      </c>
      <c r="K109" s="36">
        <f t="shared" si="20"/>
        <v>12084</v>
      </c>
      <c r="L109" s="36">
        <f t="shared" si="31"/>
        <v>6662</v>
      </c>
      <c r="M109" s="37">
        <f t="shared" si="22"/>
        <v>333</v>
      </c>
      <c r="N109" s="36">
        <f t="shared" si="32"/>
        <v>5089</v>
      </c>
      <c r="O109" s="36">
        <f t="shared" si="33"/>
        <v>12084</v>
      </c>
      <c r="P109" s="37">
        <f t="shared" si="34"/>
        <v>799</v>
      </c>
      <c r="Q109" s="37">
        <f t="shared" si="24"/>
        <v>200</v>
      </c>
      <c r="R109" s="37">
        <f t="shared" si="35"/>
        <v>91</v>
      </c>
      <c r="S109" s="37"/>
      <c r="T109" s="31"/>
      <c r="U109" s="63"/>
      <c r="V109" s="63"/>
      <c r="W109" s="31"/>
      <c r="X109" s="37">
        <f t="shared" si="36"/>
        <v>1090</v>
      </c>
      <c r="Y109" s="39">
        <f t="shared" si="37"/>
        <v>10994</v>
      </c>
      <c r="Z109" s="40">
        <v>500</v>
      </c>
      <c r="AA109" s="39">
        <f t="shared" si="38"/>
        <v>10494</v>
      </c>
    </row>
    <row r="110" spans="1:27">
      <c r="A110" s="28">
        <v>101</v>
      </c>
      <c r="B110" s="72">
        <v>102004403215</v>
      </c>
      <c r="C110" s="64">
        <v>3318522916</v>
      </c>
      <c r="D110" s="65" t="s">
        <v>128</v>
      </c>
      <c r="E110" s="32">
        <v>636</v>
      </c>
      <c r="F110" s="42"/>
      <c r="G110" s="34"/>
      <c r="H110" s="35">
        <f t="shared" si="28"/>
        <v>0</v>
      </c>
      <c r="I110" s="36">
        <f t="shared" si="29"/>
        <v>0</v>
      </c>
      <c r="J110" s="36">
        <f t="shared" si="30"/>
        <v>0</v>
      </c>
      <c r="K110" s="36">
        <f t="shared" si="20"/>
        <v>0</v>
      </c>
      <c r="L110" s="36">
        <f t="shared" si="31"/>
        <v>0</v>
      </c>
      <c r="M110" s="37">
        <f t="shared" si="22"/>
        <v>0</v>
      </c>
      <c r="N110" s="36">
        <f t="shared" si="32"/>
        <v>0</v>
      </c>
      <c r="O110" s="36">
        <f t="shared" si="33"/>
        <v>0</v>
      </c>
      <c r="P110" s="37">
        <f t="shared" si="34"/>
        <v>0</v>
      </c>
      <c r="Q110" s="37">
        <f t="shared" si="24"/>
        <v>0</v>
      </c>
      <c r="R110" s="37">
        <f t="shared" si="35"/>
        <v>0</v>
      </c>
      <c r="S110" s="37"/>
      <c r="T110" s="31"/>
      <c r="U110" s="63"/>
      <c r="V110" s="63"/>
      <c r="W110" s="31"/>
      <c r="X110" s="37">
        <f t="shared" si="36"/>
        <v>0</v>
      </c>
      <c r="Y110" s="39">
        <f t="shared" si="37"/>
        <v>0</v>
      </c>
      <c r="Z110" s="40">
        <v>500</v>
      </c>
      <c r="AA110" s="39">
        <f t="shared" si="38"/>
        <v>-500</v>
      </c>
    </row>
    <row r="111" spans="1:27">
      <c r="A111" s="28">
        <v>102</v>
      </c>
      <c r="B111" s="72">
        <v>102315753105</v>
      </c>
      <c r="C111" s="64">
        <v>3318530489</v>
      </c>
      <c r="D111" s="65" t="s">
        <v>129</v>
      </c>
      <c r="E111" s="32">
        <v>636</v>
      </c>
      <c r="F111" s="33"/>
      <c r="G111" s="34"/>
      <c r="H111" s="35">
        <f t="shared" si="28"/>
        <v>0</v>
      </c>
      <c r="I111" s="36">
        <f t="shared" si="29"/>
        <v>0</v>
      </c>
      <c r="J111" s="36">
        <f t="shared" si="30"/>
        <v>0</v>
      </c>
      <c r="K111" s="36">
        <f t="shared" si="20"/>
        <v>0</v>
      </c>
      <c r="L111" s="36">
        <f t="shared" si="31"/>
        <v>0</v>
      </c>
      <c r="M111" s="37">
        <f t="shared" si="22"/>
        <v>0</v>
      </c>
      <c r="N111" s="36">
        <f t="shared" si="32"/>
        <v>0</v>
      </c>
      <c r="O111" s="36">
        <f t="shared" si="33"/>
        <v>0</v>
      </c>
      <c r="P111" s="37">
        <f t="shared" si="34"/>
        <v>0</v>
      </c>
      <c r="Q111" s="37">
        <f t="shared" si="24"/>
        <v>0</v>
      </c>
      <c r="R111" s="37">
        <f t="shared" si="35"/>
        <v>0</v>
      </c>
      <c r="S111" s="37"/>
      <c r="T111" s="31"/>
      <c r="U111" s="63"/>
      <c r="V111" s="31"/>
      <c r="W111" s="31"/>
      <c r="X111" s="37">
        <f t="shared" si="36"/>
        <v>0</v>
      </c>
      <c r="Y111" s="39">
        <f t="shared" si="37"/>
        <v>0</v>
      </c>
      <c r="Z111" s="40">
        <v>500</v>
      </c>
      <c r="AA111" s="39">
        <f t="shared" si="38"/>
        <v>-500</v>
      </c>
    </row>
    <row r="112" spans="1:27">
      <c r="A112" s="28">
        <v>103</v>
      </c>
      <c r="B112" s="72">
        <v>101811097763</v>
      </c>
      <c r="C112" s="64">
        <v>3318529726</v>
      </c>
      <c r="D112" s="65" t="s">
        <v>130</v>
      </c>
      <c r="E112" s="32">
        <v>636</v>
      </c>
      <c r="F112" s="33">
        <v>15</v>
      </c>
      <c r="G112" s="34">
        <v>10</v>
      </c>
      <c r="H112" s="35">
        <f t="shared" si="28"/>
        <v>25</v>
      </c>
      <c r="I112" s="36">
        <f t="shared" si="29"/>
        <v>9540</v>
      </c>
      <c r="J112" s="36">
        <f t="shared" si="30"/>
        <v>6360</v>
      </c>
      <c r="K112" s="36">
        <f t="shared" si="20"/>
        <v>15900</v>
      </c>
      <c r="L112" s="36">
        <f t="shared" si="31"/>
        <v>9084</v>
      </c>
      <c r="M112" s="37">
        <f t="shared" si="22"/>
        <v>454</v>
      </c>
      <c r="N112" s="36">
        <f t="shared" si="32"/>
        <v>6362</v>
      </c>
      <c r="O112" s="36">
        <f t="shared" si="33"/>
        <v>15900</v>
      </c>
      <c r="P112" s="37">
        <f t="shared" si="34"/>
        <v>1090</v>
      </c>
      <c r="Q112" s="37">
        <f t="shared" si="24"/>
        <v>200</v>
      </c>
      <c r="R112" s="37">
        <f t="shared" si="35"/>
        <v>119</v>
      </c>
      <c r="S112" s="37"/>
      <c r="T112" s="31"/>
      <c r="U112" s="63"/>
      <c r="V112" s="31"/>
      <c r="W112" s="31"/>
      <c r="X112" s="37">
        <f t="shared" si="36"/>
        <v>1409</v>
      </c>
      <c r="Y112" s="39">
        <f t="shared" si="37"/>
        <v>14491</v>
      </c>
      <c r="Z112" s="40">
        <v>500</v>
      </c>
      <c r="AA112" s="39">
        <f t="shared" si="38"/>
        <v>13991</v>
      </c>
    </row>
    <row r="113" spans="1:27">
      <c r="A113" s="28">
        <v>104</v>
      </c>
      <c r="B113" s="72">
        <v>102315785207</v>
      </c>
      <c r="C113" s="64">
        <v>3318530725</v>
      </c>
      <c r="D113" s="65" t="s">
        <v>131</v>
      </c>
      <c r="E113" s="32">
        <v>636</v>
      </c>
      <c r="F113" s="33"/>
      <c r="G113" s="34"/>
      <c r="H113" s="35">
        <f t="shared" si="28"/>
        <v>0</v>
      </c>
      <c r="I113" s="36">
        <f t="shared" si="29"/>
        <v>0</v>
      </c>
      <c r="J113" s="36">
        <f t="shared" si="30"/>
        <v>0</v>
      </c>
      <c r="K113" s="36">
        <f t="shared" si="20"/>
        <v>0</v>
      </c>
      <c r="L113" s="36">
        <f t="shared" si="31"/>
        <v>0</v>
      </c>
      <c r="M113" s="37">
        <f t="shared" si="22"/>
        <v>0</v>
      </c>
      <c r="N113" s="36">
        <f t="shared" si="32"/>
        <v>0</v>
      </c>
      <c r="O113" s="36">
        <f t="shared" si="33"/>
        <v>0</v>
      </c>
      <c r="P113" s="37">
        <f t="shared" si="34"/>
        <v>0</v>
      </c>
      <c r="Q113" s="37">
        <f t="shared" si="24"/>
        <v>0</v>
      </c>
      <c r="R113" s="37">
        <f t="shared" si="35"/>
        <v>0</v>
      </c>
      <c r="S113" s="37"/>
      <c r="T113" s="31"/>
      <c r="U113" s="63"/>
      <c r="V113" s="63"/>
      <c r="W113" s="31"/>
      <c r="X113" s="37">
        <f t="shared" si="36"/>
        <v>0</v>
      </c>
      <c r="Y113" s="39">
        <f t="shared" si="37"/>
        <v>0</v>
      </c>
      <c r="Z113" s="40">
        <v>500</v>
      </c>
      <c r="AA113" s="39">
        <f t="shared" si="38"/>
        <v>-500</v>
      </c>
    </row>
    <row r="114" spans="1:27" s="46" customFormat="1">
      <c r="A114" s="28">
        <v>66</v>
      </c>
      <c r="B114" s="72">
        <v>102315791438</v>
      </c>
      <c r="C114" s="64">
        <v>3318530681</v>
      </c>
      <c r="D114" s="65" t="s">
        <v>132</v>
      </c>
      <c r="E114" s="32">
        <v>636</v>
      </c>
      <c r="F114" s="33"/>
      <c r="G114" s="34"/>
      <c r="H114" s="35">
        <f t="shared" si="28"/>
        <v>0</v>
      </c>
      <c r="I114" s="36">
        <f t="shared" si="29"/>
        <v>0</v>
      </c>
      <c r="J114" s="36">
        <f t="shared" si="30"/>
        <v>0</v>
      </c>
      <c r="K114" s="36">
        <f t="shared" si="20"/>
        <v>0</v>
      </c>
      <c r="L114" s="36">
        <f t="shared" si="31"/>
        <v>0</v>
      </c>
      <c r="M114" s="37">
        <f t="shared" si="22"/>
        <v>0</v>
      </c>
      <c r="N114" s="36">
        <f t="shared" si="32"/>
        <v>0</v>
      </c>
      <c r="O114" s="36">
        <f t="shared" si="33"/>
        <v>0</v>
      </c>
      <c r="P114" s="37">
        <f t="shared" si="34"/>
        <v>0</v>
      </c>
      <c r="Q114" s="37">
        <f t="shared" si="24"/>
        <v>0</v>
      </c>
      <c r="R114" s="37">
        <f t="shared" si="35"/>
        <v>0</v>
      </c>
      <c r="S114" s="37"/>
      <c r="T114" s="31"/>
      <c r="U114" s="38"/>
      <c r="V114" s="38"/>
      <c r="W114" s="31"/>
      <c r="X114" s="37">
        <f t="shared" si="36"/>
        <v>0</v>
      </c>
      <c r="Y114" s="39">
        <f t="shared" si="37"/>
        <v>0</v>
      </c>
      <c r="Z114" s="40"/>
      <c r="AA114" s="39">
        <f t="shared" si="38"/>
        <v>0</v>
      </c>
    </row>
    <row r="115" spans="1:27" s="46" customFormat="1">
      <c r="A115" s="28">
        <v>67</v>
      </c>
      <c r="B115" s="72">
        <v>101938681040</v>
      </c>
      <c r="C115" s="64">
        <v>3318529891</v>
      </c>
      <c r="D115" s="65" t="s">
        <v>133</v>
      </c>
      <c r="E115" s="32">
        <v>636</v>
      </c>
      <c r="F115" s="33"/>
      <c r="G115" s="34"/>
      <c r="H115" s="35">
        <f t="shared" si="28"/>
        <v>0</v>
      </c>
      <c r="I115" s="36">
        <f t="shared" si="29"/>
        <v>0</v>
      </c>
      <c r="J115" s="36">
        <f t="shared" si="30"/>
        <v>0</v>
      </c>
      <c r="K115" s="36">
        <f t="shared" si="20"/>
        <v>0</v>
      </c>
      <c r="L115" s="36">
        <f t="shared" si="31"/>
        <v>0</v>
      </c>
      <c r="M115" s="37">
        <f t="shared" si="22"/>
        <v>0</v>
      </c>
      <c r="N115" s="36">
        <f t="shared" si="32"/>
        <v>0</v>
      </c>
      <c r="O115" s="36">
        <f t="shared" si="33"/>
        <v>0</v>
      </c>
      <c r="P115" s="37">
        <f t="shared" si="34"/>
        <v>0</v>
      </c>
      <c r="Q115" s="37">
        <f t="shared" si="24"/>
        <v>0</v>
      </c>
      <c r="R115" s="37">
        <f t="shared" si="35"/>
        <v>0</v>
      </c>
      <c r="S115" s="37"/>
      <c r="T115" s="31"/>
      <c r="U115" s="38"/>
      <c r="V115" s="38"/>
      <c r="W115" s="31"/>
      <c r="X115" s="37">
        <f t="shared" si="36"/>
        <v>0</v>
      </c>
      <c r="Y115" s="39">
        <f t="shared" si="37"/>
        <v>0</v>
      </c>
      <c r="Z115" s="40">
        <v>500</v>
      </c>
      <c r="AA115" s="39">
        <f t="shared" si="38"/>
        <v>-500</v>
      </c>
    </row>
    <row r="116" spans="1:27" s="46" customFormat="1">
      <c r="A116" s="28">
        <v>68</v>
      </c>
      <c r="B116" s="72">
        <v>101541847309</v>
      </c>
      <c r="C116" s="64">
        <v>3311476751</v>
      </c>
      <c r="D116" s="65" t="s">
        <v>134</v>
      </c>
      <c r="E116" s="32">
        <v>636</v>
      </c>
      <c r="F116" s="33">
        <v>18</v>
      </c>
      <c r="G116" s="34">
        <v>7</v>
      </c>
      <c r="H116" s="35">
        <f t="shared" si="28"/>
        <v>25</v>
      </c>
      <c r="I116" s="36">
        <f t="shared" si="29"/>
        <v>11448</v>
      </c>
      <c r="J116" s="36">
        <f t="shared" si="30"/>
        <v>4452</v>
      </c>
      <c r="K116" s="36">
        <f t="shared" si="20"/>
        <v>15900</v>
      </c>
      <c r="L116" s="36">
        <f t="shared" si="31"/>
        <v>10901</v>
      </c>
      <c r="M116" s="37">
        <f t="shared" si="22"/>
        <v>545</v>
      </c>
      <c r="N116" s="36">
        <f t="shared" si="32"/>
        <v>4454</v>
      </c>
      <c r="O116" s="36">
        <f t="shared" si="33"/>
        <v>15900</v>
      </c>
      <c r="P116" s="37">
        <f t="shared" si="34"/>
        <v>1308</v>
      </c>
      <c r="Q116" s="37">
        <f t="shared" si="24"/>
        <v>200</v>
      </c>
      <c r="R116" s="37">
        <f t="shared" si="35"/>
        <v>119</v>
      </c>
      <c r="S116" s="37"/>
      <c r="T116" s="31"/>
      <c r="U116" s="38"/>
      <c r="V116" s="38"/>
      <c r="W116" s="31"/>
      <c r="X116" s="37">
        <f t="shared" si="36"/>
        <v>1627</v>
      </c>
      <c r="Y116" s="39">
        <f t="shared" si="37"/>
        <v>14273</v>
      </c>
      <c r="Z116" s="40">
        <v>500</v>
      </c>
      <c r="AA116" s="39">
        <f t="shared" si="38"/>
        <v>13773</v>
      </c>
    </row>
    <row r="117" spans="1:27" s="46" customFormat="1">
      <c r="A117" s="28">
        <v>69</v>
      </c>
      <c r="B117" s="70" t="s">
        <v>135</v>
      </c>
      <c r="C117" s="64">
        <v>3318459745</v>
      </c>
      <c r="D117" s="65" t="s">
        <v>135</v>
      </c>
      <c r="E117" s="32">
        <v>636</v>
      </c>
      <c r="F117" s="33">
        <v>4</v>
      </c>
      <c r="G117" s="34">
        <v>5</v>
      </c>
      <c r="H117" s="35">
        <f t="shared" si="28"/>
        <v>9</v>
      </c>
      <c r="I117" s="36">
        <f t="shared" si="29"/>
        <v>2544</v>
      </c>
      <c r="J117" s="36">
        <f t="shared" si="30"/>
        <v>3180</v>
      </c>
      <c r="K117" s="36">
        <f t="shared" si="20"/>
        <v>5724</v>
      </c>
      <c r="L117" s="36">
        <f t="shared" si="31"/>
        <v>2422</v>
      </c>
      <c r="M117" s="37">
        <f t="shared" si="22"/>
        <v>121</v>
      </c>
      <c r="N117" s="36">
        <f t="shared" si="32"/>
        <v>3181</v>
      </c>
      <c r="O117" s="36">
        <f t="shared" si="33"/>
        <v>5724</v>
      </c>
      <c r="P117" s="37">
        <f t="shared" si="34"/>
        <v>291</v>
      </c>
      <c r="Q117" s="37">
        <f t="shared" si="24"/>
        <v>0</v>
      </c>
      <c r="R117" s="37">
        <f t="shared" si="35"/>
        <v>43</v>
      </c>
      <c r="S117" s="37"/>
      <c r="T117" s="31"/>
      <c r="U117" s="38"/>
      <c r="V117" s="38"/>
      <c r="W117" s="62"/>
      <c r="X117" s="37">
        <f t="shared" si="36"/>
        <v>334</v>
      </c>
      <c r="Y117" s="39">
        <f t="shared" si="37"/>
        <v>5390</v>
      </c>
      <c r="Z117" s="40">
        <v>500</v>
      </c>
      <c r="AA117" s="39">
        <f t="shared" si="38"/>
        <v>4890</v>
      </c>
    </row>
    <row r="118" spans="1:27" s="46" customFormat="1">
      <c r="A118" s="28">
        <v>70</v>
      </c>
      <c r="B118" s="70" t="s">
        <v>136</v>
      </c>
      <c r="C118" s="64">
        <v>3318522025</v>
      </c>
      <c r="D118" s="65" t="s">
        <v>136</v>
      </c>
      <c r="E118" s="32">
        <v>636</v>
      </c>
      <c r="F118" s="33">
        <v>4</v>
      </c>
      <c r="G118" s="34">
        <v>3</v>
      </c>
      <c r="H118" s="35">
        <f t="shared" si="28"/>
        <v>7</v>
      </c>
      <c r="I118" s="36">
        <f t="shared" si="29"/>
        <v>2544</v>
      </c>
      <c r="J118" s="36">
        <f t="shared" si="30"/>
        <v>1908</v>
      </c>
      <c r="K118" s="36">
        <f t="shared" si="20"/>
        <v>4452</v>
      </c>
      <c r="L118" s="36">
        <f t="shared" si="31"/>
        <v>2422</v>
      </c>
      <c r="M118" s="37">
        <f t="shared" si="22"/>
        <v>121</v>
      </c>
      <c r="N118" s="36">
        <f t="shared" si="32"/>
        <v>1909</v>
      </c>
      <c r="O118" s="36">
        <f t="shared" si="33"/>
        <v>4452</v>
      </c>
      <c r="P118" s="37">
        <f t="shared" si="34"/>
        <v>291</v>
      </c>
      <c r="Q118" s="37">
        <f t="shared" si="24"/>
        <v>0</v>
      </c>
      <c r="R118" s="37">
        <f t="shared" si="35"/>
        <v>33</v>
      </c>
      <c r="S118" s="37"/>
      <c r="T118" s="31"/>
      <c r="U118" s="38"/>
      <c r="V118" s="38"/>
      <c r="W118" s="31"/>
      <c r="X118" s="37">
        <f t="shared" si="36"/>
        <v>324</v>
      </c>
      <c r="Y118" s="39">
        <f t="shared" si="37"/>
        <v>4128</v>
      </c>
      <c r="Z118" s="40">
        <v>500</v>
      </c>
      <c r="AA118" s="39">
        <f t="shared" si="38"/>
        <v>3628</v>
      </c>
    </row>
    <row r="119" spans="1:27" s="46" customFormat="1">
      <c r="A119" s="28">
        <v>71</v>
      </c>
      <c r="B119" s="43">
        <v>101923650899</v>
      </c>
      <c r="C119" s="74">
        <v>3315707279</v>
      </c>
      <c r="D119" s="65" t="s">
        <v>137</v>
      </c>
      <c r="E119" s="32">
        <v>636</v>
      </c>
      <c r="F119" s="33">
        <v>18</v>
      </c>
      <c r="G119" s="34">
        <v>7</v>
      </c>
      <c r="H119" s="35">
        <f t="shared" si="28"/>
        <v>25</v>
      </c>
      <c r="I119" s="36">
        <f t="shared" si="29"/>
        <v>11448</v>
      </c>
      <c r="J119" s="36">
        <f t="shared" si="30"/>
        <v>4452</v>
      </c>
      <c r="K119" s="36">
        <f t="shared" si="20"/>
        <v>15900</v>
      </c>
      <c r="L119" s="36">
        <f t="shared" si="31"/>
        <v>10901</v>
      </c>
      <c r="M119" s="37">
        <f t="shared" si="22"/>
        <v>545</v>
      </c>
      <c r="N119" s="36">
        <f t="shared" si="32"/>
        <v>4454</v>
      </c>
      <c r="O119" s="36">
        <f t="shared" si="33"/>
        <v>15900</v>
      </c>
      <c r="P119" s="37">
        <f t="shared" si="34"/>
        <v>1308</v>
      </c>
      <c r="Q119" s="37">
        <f t="shared" si="24"/>
        <v>200</v>
      </c>
      <c r="R119" s="37">
        <f t="shared" si="35"/>
        <v>119</v>
      </c>
      <c r="S119" s="37"/>
      <c r="T119" s="31"/>
      <c r="U119" s="38"/>
      <c r="V119" s="38"/>
      <c r="W119" s="31"/>
      <c r="X119" s="37">
        <f t="shared" si="36"/>
        <v>1627</v>
      </c>
      <c r="Y119" s="39">
        <f t="shared" si="37"/>
        <v>14273</v>
      </c>
      <c r="Z119" s="40">
        <v>500</v>
      </c>
      <c r="AA119" s="39">
        <f t="shared" si="38"/>
        <v>13773</v>
      </c>
    </row>
    <row r="120" spans="1:27">
      <c r="A120" s="28">
        <v>72</v>
      </c>
      <c r="B120" s="43" t="s">
        <v>138</v>
      </c>
      <c r="C120" s="74">
        <v>3318587036</v>
      </c>
      <c r="D120" s="75" t="s">
        <v>138</v>
      </c>
      <c r="E120" s="32">
        <v>636</v>
      </c>
      <c r="F120" s="33">
        <v>0</v>
      </c>
      <c r="G120" s="34"/>
      <c r="H120" s="35">
        <f t="shared" si="28"/>
        <v>0</v>
      </c>
      <c r="I120" s="36">
        <f t="shared" si="29"/>
        <v>0</v>
      </c>
      <c r="J120" s="36">
        <f t="shared" si="30"/>
        <v>0</v>
      </c>
      <c r="K120" s="36">
        <f t="shared" si="20"/>
        <v>0</v>
      </c>
      <c r="L120" s="36">
        <f t="shared" si="31"/>
        <v>0</v>
      </c>
      <c r="M120" s="37">
        <f t="shared" si="22"/>
        <v>0</v>
      </c>
      <c r="N120" s="36">
        <f t="shared" si="32"/>
        <v>0</v>
      </c>
      <c r="O120" s="36">
        <f t="shared" si="33"/>
        <v>0</v>
      </c>
      <c r="P120" s="37">
        <f t="shared" si="34"/>
        <v>0</v>
      </c>
      <c r="Q120" s="37">
        <f t="shared" si="24"/>
        <v>0</v>
      </c>
      <c r="R120" s="37">
        <f t="shared" si="35"/>
        <v>0</v>
      </c>
      <c r="S120" s="37"/>
      <c r="T120" s="31"/>
      <c r="U120" s="38"/>
      <c r="V120" s="38"/>
      <c r="W120" s="31"/>
      <c r="X120" s="37">
        <f t="shared" si="36"/>
        <v>0</v>
      </c>
      <c r="Y120" s="39">
        <f t="shared" si="37"/>
        <v>0</v>
      </c>
      <c r="Z120" s="40">
        <v>500</v>
      </c>
      <c r="AA120" s="39">
        <f t="shared" si="38"/>
        <v>-500</v>
      </c>
    </row>
    <row r="121" spans="1:27">
      <c r="A121" s="28">
        <v>73</v>
      </c>
      <c r="B121" s="72" t="s">
        <v>139</v>
      </c>
      <c r="C121" s="65"/>
      <c r="D121" s="65" t="s">
        <v>139</v>
      </c>
      <c r="E121" s="32">
        <v>636</v>
      </c>
      <c r="F121" s="33">
        <v>1</v>
      </c>
      <c r="G121" s="34">
        <v>1</v>
      </c>
      <c r="H121" s="35">
        <f t="shared" si="28"/>
        <v>2</v>
      </c>
      <c r="I121" s="36">
        <f t="shared" si="29"/>
        <v>636</v>
      </c>
      <c r="J121" s="36">
        <f t="shared" si="30"/>
        <v>636</v>
      </c>
      <c r="K121" s="36">
        <f t="shared" si="20"/>
        <v>1272</v>
      </c>
      <c r="L121" s="36">
        <f t="shared" si="31"/>
        <v>606</v>
      </c>
      <c r="M121" s="37">
        <f t="shared" si="22"/>
        <v>30</v>
      </c>
      <c r="N121" s="36">
        <f t="shared" si="32"/>
        <v>636</v>
      </c>
      <c r="O121" s="36">
        <f t="shared" si="33"/>
        <v>1272</v>
      </c>
      <c r="P121" s="37">
        <f t="shared" si="34"/>
        <v>73</v>
      </c>
      <c r="Q121" s="37">
        <f t="shared" si="24"/>
        <v>0</v>
      </c>
      <c r="R121" s="37">
        <f t="shared" si="35"/>
        <v>10</v>
      </c>
      <c r="S121" s="37"/>
      <c r="T121" s="31"/>
      <c r="U121" s="38"/>
      <c r="V121" s="38"/>
      <c r="W121" s="31"/>
      <c r="X121" s="37">
        <f t="shared" si="36"/>
        <v>83</v>
      </c>
      <c r="Y121" s="39">
        <f t="shared" si="37"/>
        <v>1189</v>
      </c>
      <c r="Z121" s="40">
        <v>500</v>
      </c>
      <c r="AA121" s="39">
        <f t="shared" si="38"/>
        <v>689</v>
      </c>
    </row>
    <row r="122" spans="1:27">
      <c r="A122" s="28"/>
      <c r="B122" s="76"/>
      <c r="C122" s="45"/>
      <c r="D122" s="77"/>
      <c r="E122" s="73">
        <f t="shared" ref="E122:AA122" si="39">SUM(E12:E121)</f>
        <v>69960</v>
      </c>
      <c r="F122" s="73">
        <f t="shared" si="39"/>
        <v>1432</v>
      </c>
      <c r="G122" s="73">
        <f t="shared" si="39"/>
        <v>715</v>
      </c>
      <c r="H122" s="73">
        <f t="shared" si="39"/>
        <v>2147</v>
      </c>
      <c r="I122" s="73">
        <f t="shared" si="39"/>
        <v>910752</v>
      </c>
      <c r="J122" s="73">
        <f t="shared" si="39"/>
        <v>454740</v>
      </c>
      <c r="K122" s="73">
        <f t="shared" si="39"/>
        <v>1365492</v>
      </c>
      <c r="L122" s="73">
        <f t="shared" si="39"/>
        <v>867238</v>
      </c>
      <c r="M122" s="73">
        <f t="shared" si="39"/>
        <v>43367</v>
      </c>
      <c r="N122" s="73">
        <f t="shared" si="39"/>
        <v>454887</v>
      </c>
      <c r="O122" s="73">
        <f t="shared" si="39"/>
        <v>1365492</v>
      </c>
      <c r="P122" s="73">
        <f t="shared" si="39"/>
        <v>104055</v>
      </c>
      <c r="Q122" s="73">
        <f t="shared" si="39"/>
        <v>18600</v>
      </c>
      <c r="R122" s="73">
        <f t="shared" si="39"/>
        <v>10232</v>
      </c>
      <c r="S122" s="73">
        <f t="shared" si="39"/>
        <v>0</v>
      </c>
      <c r="T122" s="73">
        <f t="shared" si="39"/>
        <v>0</v>
      </c>
      <c r="U122" s="73">
        <f t="shared" si="39"/>
        <v>0</v>
      </c>
      <c r="V122" s="73">
        <f t="shared" si="39"/>
        <v>0</v>
      </c>
      <c r="W122" s="73">
        <f t="shared" si="39"/>
        <v>0</v>
      </c>
      <c r="X122" s="73">
        <f t="shared" si="39"/>
        <v>132887</v>
      </c>
      <c r="Y122" s="73">
        <f t="shared" si="39"/>
        <v>1232605</v>
      </c>
      <c r="Z122" s="73">
        <f t="shared" si="39"/>
        <v>54000</v>
      </c>
      <c r="AA122" s="73">
        <f t="shared" si="39"/>
        <v>1178605</v>
      </c>
    </row>
  </sheetData>
  <autoFilter ref="A7:AA121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28">
    <mergeCell ref="L7:L11"/>
    <mergeCell ref="A7:A11"/>
    <mergeCell ref="B7:B11"/>
    <mergeCell ref="C7:C11"/>
    <mergeCell ref="D7:D11"/>
    <mergeCell ref="E7:E11"/>
    <mergeCell ref="F7:F11"/>
    <mergeCell ref="G7:G11"/>
    <mergeCell ref="H7:H11"/>
    <mergeCell ref="I7:I11"/>
    <mergeCell ref="J7:J11"/>
    <mergeCell ref="K7:K11"/>
    <mergeCell ref="M7:M11"/>
    <mergeCell ref="N7:N11"/>
    <mergeCell ref="O7:O11"/>
    <mergeCell ref="P7:X7"/>
    <mergeCell ref="Y7:Y11"/>
    <mergeCell ref="AA7:AA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Z7:Z11"/>
  </mergeCells>
  <conditionalFormatting sqref="B12:B63">
    <cfRule type="duplicateValues" dxfId="18" priority="40"/>
    <cfRule type="duplicateValues" dxfId="17" priority="41"/>
    <cfRule type="duplicateValues" dxfId="16" priority="42"/>
  </conditionalFormatting>
  <conditionalFormatting sqref="B12:B74">
    <cfRule type="duplicateValues" dxfId="15" priority="44"/>
    <cfRule type="duplicateValues" dxfId="14" priority="45"/>
    <cfRule type="duplicateValues" dxfId="13" priority="46"/>
  </conditionalFormatting>
  <conditionalFormatting sqref="B12:B76">
    <cfRule type="duplicateValues" dxfId="12" priority="39"/>
  </conditionalFormatting>
  <conditionalFormatting sqref="B77:B94">
    <cfRule type="duplicateValues" dxfId="11" priority="4"/>
  </conditionalFormatting>
  <conditionalFormatting sqref="B123:B1048576 B1:B11">
    <cfRule type="duplicateValues" dxfId="10" priority="58"/>
  </conditionalFormatting>
  <conditionalFormatting sqref="B123:B1048576">
    <cfRule type="duplicateValues" dxfId="9" priority="61"/>
  </conditionalFormatting>
  <conditionalFormatting sqref="B123:D1048576 B1:D11">
    <cfRule type="duplicateValues" dxfId="8" priority="71"/>
  </conditionalFormatting>
  <conditionalFormatting sqref="B123:D1048576">
    <cfRule type="duplicateValues" dxfId="7" priority="77"/>
  </conditionalFormatting>
  <conditionalFormatting sqref="C12:C56">
    <cfRule type="duplicateValues" dxfId="6" priority="43"/>
  </conditionalFormatting>
  <conditionalFormatting sqref="C91">
    <cfRule type="duplicateValues" dxfId="5" priority="2"/>
  </conditionalFormatting>
  <conditionalFormatting sqref="C92:C94 C57:C90">
    <cfRule type="duplicateValues" dxfId="4" priority="3"/>
  </conditionalFormatting>
  <conditionalFormatting sqref="C95">
    <cfRule type="duplicateValues" dxfId="3" priority="1"/>
  </conditionalFormatting>
  <conditionalFormatting sqref="C96:C99">
    <cfRule type="duplicateValues" dxfId="2" priority="5"/>
  </conditionalFormatting>
  <conditionalFormatting sqref="C122:C1048576 C1:C11">
    <cfRule type="duplicateValues" dxfId="1" priority="6"/>
  </conditionalFormatting>
  <conditionalFormatting sqref="C123:D1048576 C1:D11">
    <cfRule type="duplicateValues" dxfId="0" priority="79"/>
  </conditionalFormatting>
  <pageMargins left="0.70866141732283505" right="0.70866141732283505" top="0.19" bottom="0.28999999999999998" header="0.15" footer="0.31496062992126"/>
  <pageSetup paperSize="9" scale="30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(PF) WAGESH APR-26 Line-01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sumit.m2106@gmail.com</cp:lastModifiedBy>
  <dcterms:created xsi:type="dcterms:W3CDTF">2026-05-30T07:30:14Z</dcterms:created>
  <dcterms:modified xsi:type="dcterms:W3CDTF">2026-06-13T13:49:50Z</dcterms:modified>
</cp:coreProperties>
</file>