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4915" windowHeight="11835"/>
  </bookViews>
  <sheets>
    <sheet name="Line-1 (2)" sheetId="1" r:id="rId1"/>
  </sheets>
  <externalReferences>
    <externalReference r:id="rId2"/>
  </externalReferences>
  <definedNames>
    <definedName name="_xlnm._FilterDatabase" localSheetId="0" hidden="1">'Line-1 (2)'!$A$1:$T$97</definedName>
  </definedNames>
  <calcPr calcId="144525"/>
</workbook>
</file>

<file path=xl/calcChain.xml><?xml version="1.0" encoding="utf-8"?>
<calcChain xmlns="http://schemas.openxmlformats.org/spreadsheetml/2006/main">
  <c r="H97" i="1" l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<sst xmlns="http://schemas.openxmlformats.org/spreadsheetml/2006/main" count="773" uniqueCount="395">
  <si>
    <t>Sr. No</t>
  </si>
  <si>
    <t>Company</t>
  </si>
  <si>
    <t>Ticket No</t>
  </si>
  <si>
    <t>UAN NO</t>
  </si>
  <si>
    <t xml:space="preserve">ESICNO </t>
  </si>
  <si>
    <t>FULL NAME OF EMPLOYEE</t>
  </si>
  <si>
    <t>Dep name</t>
  </si>
  <si>
    <t>Date Of Birth</t>
  </si>
  <si>
    <t>Date Of Joining</t>
  </si>
  <si>
    <t>Adhar No.</t>
  </si>
  <si>
    <t>Bank Nane</t>
  </si>
  <si>
    <t>Ifsc Code</t>
  </si>
  <si>
    <t>Bank Acc</t>
  </si>
  <si>
    <t>Present Address</t>
  </si>
  <si>
    <t>Parmanent Address</t>
  </si>
  <si>
    <t>Self Mob No</t>
  </si>
  <si>
    <t>Date of Leaving</t>
  </si>
  <si>
    <t>Date of Rejoining</t>
  </si>
  <si>
    <t>KFIL Fitling Line-1</t>
  </si>
  <si>
    <t>KFIL/L1-406</t>
  </si>
  <si>
    <t>ABHIJIT P WAGHMARE</t>
  </si>
  <si>
    <t xml:space="preserve">SHOT BLAST </t>
  </si>
  <si>
    <t>Active</t>
  </si>
  <si>
    <t>Bank Of Baroda</t>
  </si>
  <si>
    <t>BARB0SHOLAP</t>
  </si>
  <si>
    <t>04370100018040</t>
  </si>
  <si>
    <t>KFIL/L1-407</t>
  </si>
  <si>
    <t>AKASH J TINGALE</t>
  </si>
  <si>
    <t xml:space="preserve">HE </t>
  </si>
  <si>
    <t>STATE BANK OF INDIA</t>
  </si>
  <si>
    <t>SBIN0000304</t>
  </si>
  <si>
    <t>40315551169</t>
  </si>
  <si>
    <t>KFIL/L1-408</t>
  </si>
  <si>
    <t>AKASH KALE</t>
  </si>
  <si>
    <t>Bank of India</t>
  </si>
  <si>
    <t>BKID0000752</t>
  </si>
  <si>
    <t>075210110010373</t>
  </si>
  <si>
    <t>KFIL/L1-409</t>
  </si>
  <si>
    <t>AKASH RAWAT</t>
  </si>
  <si>
    <t>AIRP0000001</t>
  </si>
  <si>
    <t>7400793746</t>
  </si>
  <si>
    <t>NOT AVAILABLE</t>
  </si>
  <si>
    <t>KFIL/L1-410</t>
  </si>
  <si>
    <t>AKIB SADIK SHAIKH</t>
  </si>
  <si>
    <t>AVG</t>
  </si>
  <si>
    <t>Bank Of Maharastra</t>
  </si>
  <si>
    <t>MAHB0001127</t>
  </si>
  <si>
    <t>60225717072</t>
  </si>
  <si>
    <t>KFIL/L1-411</t>
  </si>
  <si>
    <t>AMAR PRAKASH WADGAON</t>
  </si>
  <si>
    <t>SBLS0000001</t>
  </si>
  <si>
    <t>0040041010005295</t>
  </si>
  <si>
    <t>KFIL/L1-412</t>
  </si>
  <si>
    <t>AMOGSIDDHA   MHAMANE</t>
  </si>
  <si>
    <t>BKID0000701</t>
  </si>
  <si>
    <t>070110110018489</t>
  </si>
  <si>
    <t>HATTURE VASTI HOTGIROAD,Dist:Solapur,Maharashtra</t>
  </si>
  <si>
    <t>KFIL/L1-413</t>
  </si>
  <si>
    <t>AMOL TEJU RATHOD</t>
  </si>
  <si>
    <t>SBI BANK</t>
  </si>
  <si>
    <t>SBIN0012485</t>
  </si>
  <si>
    <t>33804298328</t>
  </si>
  <si>
    <t>Airport Road,Shivsahi,Maharastra Solapur</t>
  </si>
  <si>
    <t>RAVJI NAGAR,TANDA,MANDRUP.SOLAPUR MAHARASTRA</t>
  </si>
  <si>
    <t>KFIL/L1-414</t>
  </si>
  <si>
    <t>ANIKET DANGE</t>
  </si>
  <si>
    <t xml:space="preserve">FD SUP </t>
  </si>
  <si>
    <t>UBIN0541036</t>
  </si>
  <si>
    <t>410302010508178</t>
  </si>
  <si>
    <t>KFIL/L1-415</t>
  </si>
  <si>
    <t>ANIL G MALI</t>
  </si>
  <si>
    <t xml:space="preserve">FINAL </t>
  </si>
  <si>
    <t>SBIN0004762</t>
  </si>
  <si>
    <t>33910384216</t>
  </si>
  <si>
    <t>KFIL/L1-416</t>
  </si>
  <si>
    <t>ANKUSH BHALE</t>
  </si>
  <si>
    <t>BKID0000722</t>
  </si>
  <si>
    <t>072210110009675</t>
  </si>
  <si>
    <t>KFIL/L1-417</t>
  </si>
  <si>
    <t>ARBAJ AMIN JAMADAR</t>
  </si>
  <si>
    <t xml:space="preserve">REWORK </t>
  </si>
  <si>
    <t>SBIN0017529</t>
  </si>
  <si>
    <t>42327591910</t>
  </si>
  <si>
    <t>KFIL/L1-418</t>
  </si>
  <si>
    <t>AVINASH   PATANGE</t>
  </si>
  <si>
    <t>SBIN0012484</t>
  </si>
  <si>
    <t>36099540296</t>
  </si>
  <si>
    <t>KFIL/L1-419</t>
  </si>
  <si>
    <t>AYAN SHAIKH</t>
  </si>
  <si>
    <t>410302120003490</t>
  </si>
  <si>
    <t>VIJAY LAXMI, NORTH
SOLAPUR,
413003,Dist:Solapur,Maharasht
ra</t>
  </si>
  <si>
    <t>KFIL/L1-420</t>
  </si>
  <si>
    <t>BADIGER RAJKUMAR</t>
  </si>
  <si>
    <t>KFIL/L1-421</t>
  </si>
  <si>
    <t>BANDENAWAJ SAIPAN MULLA</t>
  </si>
  <si>
    <t>BANK OF INDIA</t>
  </si>
  <si>
    <t>40653198192</t>
  </si>
  <si>
    <t>Airpord Road Shivshahi,Dist:Solapur,Maharashtra</t>
  </si>
  <si>
    <t>KFIL/L1-422</t>
  </si>
  <si>
    <t>BSAVRAJ IRANNA TALWAR</t>
  </si>
  <si>
    <t>BKID0000743</t>
  </si>
  <si>
    <t>074310110005705</t>
  </si>
  <si>
    <t>KFIL/L1-423</t>
  </si>
  <si>
    <t>BASAVRAJ SHIVANNA KOLI</t>
  </si>
  <si>
    <t xml:space="preserve">PAINTER </t>
  </si>
  <si>
    <t>31688450898</t>
  </si>
  <si>
    <t>KFIL/L1-424</t>
  </si>
  <si>
    <t>BASAVARAJ SHRISHAIL SODDE</t>
  </si>
  <si>
    <t>BKID0000738</t>
  </si>
  <si>
    <t>073810210000032</t>
  </si>
  <si>
    <t>HATTURE VASTI, HOTGI ROAD SOLAPUR,</t>
  </si>
  <si>
    <t>UDAGI,SOALPUR,Dist:Solapur,Maharashtra</t>
  </si>
  <si>
    <t>KFIL/L1-425</t>
  </si>
  <si>
    <t>BASAVRAJ KARKEL</t>
  </si>
  <si>
    <t>BKID0000759</t>
  </si>
  <si>
    <t>075918210001683</t>
  </si>
  <si>
    <t>KFIL/L1-426</t>
  </si>
  <si>
    <t>RAHUL SURESH BHADOLE</t>
  </si>
  <si>
    <t>074318210003630</t>
  </si>
  <si>
    <t>KFIL/L1-427</t>
  </si>
  <si>
    <t>BHARAT SARADE</t>
  </si>
  <si>
    <t>YESB0BMSB19</t>
  </si>
  <si>
    <t>001904030000000820</t>
  </si>
  <si>
    <t>KFIL/L1-428</t>
  </si>
  <si>
    <t>BHIMASHANKAR ISHWARKATTI</t>
  </si>
  <si>
    <t>SBIN0004653</t>
  </si>
  <si>
    <t>40234321420</t>
  </si>
  <si>
    <t>KFIL/L1-429</t>
  </si>
  <si>
    <t>CHITAMANI S KADERKAR</t>
  </si>
  <si>
    <t>SBIN0016894</t>
  </si>
  <si>
    <t>37939528340</t>
  </si>
  <si>
    <t>KFIL/L1-430</t>
  </si>
  <si>
    <t>RUSHIKESH CHANDRAKANT CHOUGULE</t>
  </si>
  <si>
    <t>BKID0000710</t>
  </si>
  <si>
    <t>071018210017655</t>
  </si>
  <si>
    <t>KFIL/L1-431</t>
  </si>
  <si>
    <t>DRAGAPPA ARWAT</t>
  </si>
  <si>
    <t>ICICI</t>
  </si>
  <si>
    <t>075210110010811</t>
  </si>
  <si>
    <t>KFIL/L1-432</t>
  </si>
  <si>
    <t>DATTATRAY WAGHMODE</t>
  </si>
  <si>
    <t>33837607736</t>
  </si>
  <si>
    <t>MU/POST,AURAD,TALUKA.DAKSHIN,SOLAPPUR,MAHARASYRA</t>
  </si>
  <si>
    <t>KFIL/L1-433</t>
  </si>
  <si>
    <t>DAVALSAB NADHAF</t>
  </si>
  <si>
    <t>BKID0000708</t>
  </si>
  <si>
    <t>070810510005508</t>
  </si>
  <si>
    <t>KFIL/L1-434</t>
  </si>
  <si>
    <t>SOMNATH KASHINATH DHANURE</t>
  </si>
  <si>
    <t>BARB0VJSHOL</t>
  </si>
  <si>
    <t>80148100005039</t>
  </si>
  <si>
    <t>AKKALKOT ROAD, AVINASH
NAGAR,SOUTH
SOLAPUR,413006,Dist:Solapur
,Maharashtra</t>
  </si>
  <si>
    <t>KFIL/L1-435</t>
  </si>
  <si>
    <t>DHARMANNA SIDDHARAM ARJUN</t>
  </si>
  <si>
    <t>AT POST SULERJAWALGE
TALUK AAKKALKOT
SOLAPUR,Dist:Solapur,Mahara
shtra
Mahatma Phule Market,
Solapur, MH (ESIS Disp.)</t>
  </si>
  <si>
    <t>KFIL/L1-436</t>
  </si>
  <si>
    <t xml:space="preserve">DINESH VASANT SALGAR </t>
  </si>
  <si>
    <t>42195392558</t>
  </si>
  <si>
    <t>KFIL/L1-437</t>
  </si>
  <si>
    <t>DIPAK DATTRAY KUMBHAR</t>
  </si>
  <si>
    <t>CNRB0006242</t>
  </si>
  <si>
    <t>6242127000750</t>
  </si>
  <si>
    <t>KFIL/L1-438</t>
  </si>
  <si>
    <t>DNYANESHWAR BHAGAVANT WAGHMARE</t>
  </si>
  <si>
    <t>0040041010006441</t>
  </si>
  <si>
    <t>KFIL/L1-439</t>
  </si>
  <si>
    <t>SIDHRAM DOMBE</t>
  </si>
  <si>
    <t>KFIL/L1-440</t>
  </si>
  <si>
    <t>GENSIDHHA AMASIDHHA VAMANE</t>
  </si>
  <si>
    <t>KFIL/L1-441</t>
  </si>
  <si>
    <t>SACHIN GHANTE</t>
  </si>
  <si>
    <t>071018210015882</t>
  </si>
  <si>
    <t>KFIL/L1-442</t>
  </si>
  <si>
    <t>GIRESH S MADYAL</t>
  </si>
  <si>
    <t>BKID0000727</t>
  </si>
  <si>
    <t>072710510003279</t>
  </si>
  <si>
    <t>KFIL/L1-443</t>
  </si>
  <si>
    <t>HARUN MULLA</t>
  </si>
  <si>
    <t>36047730345</t>
  </si>
  <si>
    <t>AURAD, INDIRANAGAR,
SOUTH
SOLAPUR,413004,Dist:Solapur
,Maharashtra</t>
  </si>
  <si>
    <t>KFIL/L1-444</t>
  </si>
  <si>
    <t>NANDURE HEMANT ANAVIRAPPA</t>
  </si>
  <si>
    <t>MAHB0000265</t>
  </si>
  <si>
    <t>60319450340</t>
  </si>
  <si>
    <t>KFIL/L1-445</t>
  </si>
  <si>
    <t>YUVRAJ MALAKARI HIKKURE</t>
  </si>
  <si>
    <t>110235946004</t>
  </si>
  <si>
    <t>HATTUR, SOLAPUR, 413008</t>
  </si>
  <si>
    <t>KFIL/L1-446</t>
  </si>
  <si>
    <t>JAVED AJMODDIN NADAF</t>
  </si>
  <si>
    <t xml:space="preserve">YANMAR LINE </t>
  </si>
  <si>
    <t>UTIB0000266</t>
  </si>
  <si>
    <t>924010051141932</t>
  </si>
  <si>
    <t>261,GOSKI NAGAR,
KUMATHE, NORTH
SOLAPUR,413003,Dist:Solapur
,Maharashtra</t>
  </si>
  <si>
    <t>KFIL/L1-447</t>
  </si>
  <si>
    <t>JETINDAR S KOLI</t>
  </si>
  <si>
    <t>071018210001210</t>
  </si>
  <si>
    <t>KFIL/L1-448</t>
  </si>
  <si>
    <t>KASHINATH ABHIMANU PATIL</t>
  </si>
  <si>
    <t>31408814156</t>
  </si>
  <si>
    <t>AT POST RAJPUR.TA.SOUTH,SOLAPUR,AURAD,MAHARASTRA</t>
  </si>
  <si>
    <t>KFIL/L1-449</t>
  </si>
  <si>
    <t>KASHINATH J BIRAJADAR</t>
  </si>
  <si>
    <t>UNION BANK OF INDIA </t>
  </si>
  <si>
    <t>UBIN0934097</t>
  </si>
  <si>
    <t>340922010000010</t>
  </si>
  <si>
    <t>KFIL/L1-450</t>
  </si>
  <si>
    <t>KHALID ILAI SHAIKH</t>
  </si>
  <si>
    <t>B OF INDIA</t>
  </si>
  <si>
    <t>074318210002140</t>
  </si>
  <si>
    <t>AT-MADRE,POST-KURMATHE SOLAPUR</t>
  </si>
  <si>
    <t>KFIL/L1-451</t>
  </si>
  <si>
    <t>SAGAR CHANDRAKANT KHATAL</t>
  </si>
  <si>
    <t>074310110005427</t>
  </si>
  <si>
    <t>KFIL/L1-452</t>
  </si>
  <si>
    <t>SANDIP CHANDRAKANT KHATAL</t>
  </si>
  <si>
    <t>074318210005445</t>
  </si>
  <si>
    <t>KFIL/L1-453</t>
  </si>
  <si>
    <t>KHAJASAHEB GULAB HIMONE</t>
  </si>
  <si>
    <t>8830179924</t>
  </si>
  <si>
    <t>KFIL/L1-454</t>
  </si>
  <si>
    <t>KISHOR MORE</t>
  </si>
  <si>
    <t>BKID0000555</t>
  </si>
  <si>
    <t>055510610000171</t>
  </si>
  <si>
    <t>KFIL/L1-455</t>
  </si>
  <si>
    <t>KAUSHIK KESHAV KULKARNI</t>
  </si>
  <si>
    <t>31017471700</t>
  </si>
  <si>
    <t>NEAR AIR PORT,PLOTNO-17/13 BHAGYASHRIPARK,HOTGI,NORTHSOLAPUR,413003,Dist:Solapur,Maharashtra</t>
  </si>
  <si>
    <t>KFIL/L1-456</t>
  </si>
  <si>
    <t>PRAKASH</t>
  </si>
  <si>
    <t>KFIL/L1-457</t>
  </si>
  <si>
    <t>SHAVRSIDDHA LANDAGE</t>
  </si>
  <si>
    <t>071018210011691</t>
  </si>
  <si>
    <t>KFIL/L1-458</t>
  </si>
  <si>
    <t>MAHESH BABUSHA LANDAGE</t>
  </si>
  <si>
    <t>075918210003376</t>
  </si>
  <si>
    <t>KFIL/L1-459</t>
  </si>
  <si>
    <t>MALLESH AMBANNA CHAUGULE</t>
  </si>
  <si>
    <t>BKID0000735</t>
  </si>
  <si>
    <t>073518210009144</t>
  </si>
  <si>
    <t>SHIRVAL, SOUTH SOLAPUR,
413215,Dist:Solapur,Maharasht
ra</t>
  </si>
  <si>
    <t>KFIL/L1-460</t>
  </si>
  <si>
    <t>MALLINATH SHIVARAM VHANAKADE</t>
  </si>
  <si>
    <t>071010110003170</t>
  </si>
  <si>
    <t>KFIL/L1-461</t>
  </si>
  <si>
    <t>MANGESH NAVNATH ANKUSHRAO</t>
  </si>
  <si>
    <t>KFIL/L1-462</t>
  </si>
  <si>
    <t>MOIN GULAB MULLA</t>
  </si>
  <si>
    <t>KFIL/L1-463</t>
  </si>
  <si>
    <t>MUSHTAK SHAIKH</t>
  </si>
  <si>
    <t>071018210008116</t>
  </si>
  <si>
    <t>KFIL/L1-464</t>
  </si>
  <si>
    <t>NADAF ARBAJ ILAHI</t>
  </si>
  <si>
    <t>KKBK0000811</t>
  </si>
  <si>
    <t>1548675125</t>
  </si>
  <si>
    <t>KFIL/L1-465</t>
  </si>
  <si>
    <t>NAMDEV DURGAPPA BANDGAR</t>
  </si>
  <si>
    <t>FINO BANK</t>
  </si>
  <si>
    <t>FINO0001001</t>
  </si>
  <si>
    <t>20007651124</t>
  </si>
  <si>
    <t>Taka,latur,taka maharastra</t>
  </si>
  <si>
    <t>KFIL/L1-466</t>
  </si>
  <si>
    <t>NITIIN ASHOK JADHAV</t>
  </si>
  <si>
    <t>KFIL/L1-467</t>
  </si>
  <si>
    <t>NITIN DHABEE</t>
  </si>
  <si>
    <t>PUNJAB NATIONAL BANK</t>
  </si>
  <si>
    <t>PUNB0480700</t>
  </si>
  <si>
    <t>4807001700024809</t>
  </si>
  <si>
    <t>HALHALLI, AKKULKOT, SOLAPUR, MH,SOLAPUR, MH, 413228</t>
  </si>
  <si>
    <t>KFIL/L1-468</t>
  </si>
  <si>
    <t>PATHAN SHAHNAVAJ MURTUJ</t>
  </si>
  <si>
    <t>KFIL/L1-469</t>
  </si>
  <si>
    <t>PRABHAKAR B NAYKUDE</t>
  </si>
  <si>
    <t>KKBK0002039</t>
  </si>
  <si>
    <t>4313430561</t>
  </si>
  <si>
    <t>KFIL/L1-470</t>
  </si>
  <si>
    <t>PUNDALIK CHANDU JADHAV</t>
  </si>
  <si>
    <t>UCO BANK</t>
  </si>
  <si>
    <t>UCBA0002282</t>
  </si>
  <si>
    <t>22820110013458</t>
  </si>
  <si>
    <t>Maddi wasti ,Maharastra Solapur</t>
  </si>
  <si>
    <t>KFIL/L1-471</t>
  </si>
  <si>
    <t>RAHUL S MASALI</t>
  </si>
  <si>
    <t>BKID0WAINGB</t>
  </si>
  <si>
    <t>201210410007411</t>
  </si>
  <si>
    <t>KFIL/L1-472</t>
  </si>
  <si>
    <t>RAKATE MALLIKARJUN SHIVAJI</t>
  </si>
  <si>
    <t>KFIL/L1-473</t>
  </si>
  <si>
    <t>ABHISHEK SUNIL RATHOD</t>
  </si>
  <si>
    <t>42329808854</t>
  </si>
  <si>
    <t>KFIL/L1-474</t>
  </si>
  <si>
    <t>REVANASIDDH SHIVAPPA ISHWARKATTI</t>
  </si>
  <si>
    <t>0100041010003038</t>
  </si>
  <si>
    <t>Kallkarjal,mundewadi,solapur</t>
  </si>
  <si>
    <t>KFIL/L1-475</t>
  </si>
  <si>
    <t>SACHIN S SANMUKH</t>
  </si>
  <si>
    <t>KKBK0000958</t>
  </si>
  <si>
    <t>3048054813</t>
  </si>
  <si>
    <t>CHOUDMMA TAMPLE, CHITTAPUR, GULBARGA, KARNATAKA, 585211</t>
  </si>
  <si>
    <t>KFIL/L1-476</t>
  </si>
  <si>
    <t>SAGAR PATIL</t>
  </si>
  <si>
    <t>40900338947</t>
  </si>
  <si>
    <t>KFIL/L1-477</t>
  </si>
  <si>
    <t>SAGAR B ARJUN</t>
  </si>
  <si>
    <t>074318110000510</t>
  </si>
  <si>
    <t>KFIL/L1-478</t>
  </si>
  <si>
    <t>SAGAR M KOLI</t>
  </si>
  <si>
    <t>04378100005471</t>
  </si>
  <si>
    <t>KFIL/L1-479</t>
  </si>
  <si>
    <t>SAGAR R GHARSANGE</t>
  </si>
  <si>
    <t>071018210015085</t>
  </si>
  <si>
    <t>KFIL/L1-480</t>
  </si>
  <si>
    <t>SAMARTH LAXMAN NANDURE</t>
  </si>
  <si>
    <t>KFIL/L1-481</t>
  </si>
  <si>
    <t>SAMART DHAVANDE</t>
  </si>
  <si>
    <t>072718210009061</t>
  </si>
  <si>
    <t>KFIL/L1-482</t>
  </si>
  <si>
    <t>SANJAYA DHADAKE</t>
  </si>
  <si>
    <t>UJVN0001165</t>
  </si>
  <si>
    <t>1165110010055077</t>
  </si>
  <si>
    <t>KOKATNOOR, ATHNI,
BELGAUM,
591230,Dist:Belgaum,Karnatak
a</t>
  </si>
  <si>
    <t>KFIL/L1-483</t>
  </si>
  <si>
    <t>Mr.SANTOSH LAXMAN KOLI</t>
  </si>
  <si>
    <t>35098128144</t>
  </si>
  <si>
    <t>A/P kumathe,Solpur South,Solpur maharashtra 413224</t>
  </si>
  <si>
    <t>KFIL/L1-484</t>
  </si>
  <si>
    <t>SATISH SHIVAJI SHINDE</t>
  </si>
  <si>
    <t>MAHARASTRA BANK</t>
  </si>
  <si>
    <t>60318171844</t>
  </si>
  <si>
    <t>shinde vada,wagdari,solapur</t>
  </si>
  <si>
    <t>KFIL/L1-485</t>
  </si>
  <si>
    <t>ASHPAK HAJIMALANG SHAIKH</t>
  </si>
  <si>
    <t>SBIN00031545</t>
  </si>
  <si>
    <t>41416437921</t>
  </si>
  <si>
    <t>267/191, RAVIVER PETH
SOLAPUR,DAJI PETH,
413005,Dist:Solapur,Maharasht
ra</t>
  </si>
  <si>
    <t>KFIL/L1-486</t>
  </si>
  <si>
    <t>IBRAHIM RAFIK SHAIKH</t>
  </si>
  <si>
    <t>MAHB0001128</t>
  </si>
  <si>
    <t>60123755332</t>
  </si>
  <si>
    <t>HOTGI
,SOLAPUR,413215,Dist:Solapu
r,Maharashtra</t>
  </si>
  <si>
    <t>KFIL/L1-487</t>
  </si>
  <si>
    <t>RAJEBHAI AHAMAD SHAIKH</t>
  </si>
  <si>
    <t>60406856328</t>
  </si>
  <si>
    <t>KFIL/L1-488</t>
  </si>
  <si>
    <t>SAIB SYAEEL</t>
  </si>
  <si>
    <t>IOBA0002937</t>
  </si>
  <si>
    <t>293701000002194</t>
  </si>
  <si>
    <t>KFIL/L1-489</t>
  </si>
  <si>
    <t>SHARNAPPA KHEDAGILAR</t>
  </si>
  <si>
    <t>BARB0HOTAGI</t>
  </si>
  <si>
    <t>45268100002647</t>
  </si>
  <si>
    <t>KFIL/L1-490</t>
  </si>
  <si>
    <t>SHIVANAND KANTAPPA KOSHTI</t>
  </si>
  <si>
    <t>073518210001343</t>
  </si>
  <si>
    <t>KFIL/L1-491</t>
  </si>
  <si>
    <t>SHIVALINGPPA MALI</t>
  </si>
  <si>
    <t>BKID00000743</t>
  </si>
  <si>
    <t>074318110000369</t>
  </si>
  <si>
    <t>KFIL/L1-492</t>
  </si>
  <si>
    <t>SHRIRAM BALASAHEB SARVAGOD</t>
  </si>
  <si>
    <t>UBIN0901881</t>
  </si>
  <si>
    <t>018822010002579</t>
  </si>
  <si>
    <t>KFIL/L1-493</t>
  </si>
  <si>
    <t>SOHIL JAMADAR</t>
  </si>
  <si>
    <t>41546504944</t>
  </si>
  <si>
    <t>KFIL/L1-494</t>
  </si>
  <si>
    <t>SONAWANE NAGNATH KASHINATH</t>
  </si>
  <si>
    <t>KFIL/L1-495</t>
  </si>
  <si>
    <t>SUDHAKAR BHIMASHANKAR KOGANURE</t>
  </si>
  <si>
    <t>BKID0000709</t>
  </si>
  <si>
    <t>070918210008287</t>
  </si>
  <si>
    <t>KFIL/L1-496</t>
  </si>
  <si>
    <t>SUFIYAN SHEKULAL FULARI</t>
  </si>
  <si>
    <t>071010510005594</t>
  </si>
  <si>
    <t>KFIL/L1-497</t>
  </si>
  <si>
    <t>MAHADEV AMBANNA VANJARI</t>
  </si>
  <si>
    <t>COSB0000084</t>
  </si>
  <si>
    <t>0840501069739</t>
  </si>
  <si>
    <t>SHIVSAHI, NORTH
SOLAPUR,413224,Dist:Solapur
,Maharashtra</t>
  </si>
  <si>
    <t>KFIL/L1-498</t>
  </si>
  <si>
    <t>VIJAY BHARALE</t>
  </si>
  <si>
    <t>Axis Bank</t>
  </si>
  <si>
    <t>923010023526771</t>
  </si>
  <si>
    <t>KFIL/L1-499</t>
  </si>
  <si>
    <t>Mr.VIJAY MANE</t>
  </si>
  <si>
    <t>071018210013585</t>
  </si>
  <si>
    <t>Swami Vivekanamnd Hotagi Road  Solpur  shivashai maharshtra 413224</t>
  </si>
  <si>
    <t>KFIL/L1-500</t>
  </si>
  <si>
    <t>VISHAL MOHAN MANE</t>
  </si>
  <si>
    <t>SBIN0001656</t>
  </si>
  <si>
    <t>39665529315</t>
  </si>
  <si>
    <t>KFIL/L1-501</t>
  </si>
  <si>
    <t xml:space="preserve">VISHAL  SURESH MANE </t>
  </si>
  <si>
    <t>070118210011413</t>
  </si>
  <si>
    <t>KFIL Panching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</si>
</sst>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_(* #,##0.00_);_(* \(#,##0.00\);_(* &quot;-&quot;??_);_(@_)"/>
    <numFmt numFmtId="166" formatCode="_(&quot;Rs.&quot;* #,##0.00_);_(&quot;Rs.&quot;* \(#,##0.00\);_(&quot;Rs.&quot;* &quot;-&quot;??_);_(@_)"/>
    <numFmt numFmtId="167" formatCode="[$₹-4009]#,##0.00;[Red]&quot;-&quot;[$₹-4009]#,##0.0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Calibri"/>
      <family val="2"/>
    </font>
    <font>
      <sz val="12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rgb="FF000000"/>
      <name val="Liberation Sans"/>
    </font>
    <font>
      <sz val="10"/>
      <color rgb="FFFFFFFF"/>
      <name val="Liberation Sans"/>
    </font>
    <font>
      <sz val="11"/>
      <color indexed="20"/>
      <name val="Calibri"/>
      <family val="2"/>
    </font>
    <font>
      <sz val="10"/>
      <color rgb="FFCC0000"/>
      <name val="Liberation Sans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rgb="FFFFFFFF"/>
      <name val="Liberation Sans"/>
    </font>
    <font>
      <i/>
      <sz val="11"/>
      <color indexed="23"/>
      <name val="Calibri"/>
      <family val="2"/>
    </font>
    <font>
      <i/>
      <sz val="10"/>
      <color rgb="FF808080"/>
      <name val="Liberation Sans"/>
    </font>
    <font>
      <sz val="11"/>
      <color indexed="17"/>
      <name val="Calibri"/>
      <family val="2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5"/>
      <color indexed="56"/>
      <name val="Calibri"/>
      <family val="2"/>
    </font>
    <font>
      <sz val="18"/>
      <color rgb="FF000000"/>
      <name val="Liberation Sans"/>
    </font>
    <font>
      <b/>
      <sz val="13"/>
      <color indexed="56"/>
      <name val="Calibri"/>
      <family val="2"/>
    </font>
    <font>
      <sz val="12"/>
      <color rgb="FF000000"/>
      <name val="Liberation Sans"/>
    </font>
    <font>
      <b/>
      <sz val="11"/>
      <color indexed="56"/>
      <name val="Calibri"/>
      <family val="2"/>
    </font>
    <font>
      <b/>
      <i/>
      <sz val="16"/>
      <color theme="1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rgb="FF996600"/>
      <name val="Liberation Sans"/>
    </font>
    <font>
      <sz val="11"/>
      <color rgb="FF000000"/>
      <name val="Liberation Sans"/>
    </font>
    <font>
      <sz val="10"/>
      <color indexed="8"/>
      <name val="Arial"/>
      <family val="2"/>
    </font>
    <font>
      <sz val="11"/>
      <color theme="1"/>
      <name val="Liberation Sans"/>
    </font>
    <font>
      <sz val="11"/>
      <color theme="1"/>
      <name val="Arial"/>
      <family val="2"/>
    </font>
    <font>
      <sz val="10"/>
      <color rgb="FF333333"/>
      <name val="Liberation Sans"/>
    </font>
    <font>
      <b/>
      <sz val="11"/>
      <color indexed="63"/>
      <name val="Calibri"/>
      <family val="2"/>
    </font>
    <font>
      <b/>
      <i/>
      <u/>
      <sz val="11"/>
      <color theme="1"/>
      <name val="Liberation Sans"/>
    </font>
    <font>
      <b/>
      <i/>
      <u/>
      <sz val="11"/>
      <color theme="1"/>
      <name val="Arial"/>
      <family val="2"/>
    </font>
    <font>
      <sz val="10"/>
      <name val="Helv"/>
      <charset val="204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CCCC"/>
        <bgColor rgb="FFFFCCCC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indexed="43"/>
      </patternFill>
    </fill>
    <fill>
      <patternFill patternType="solid">
        <fgColor rgb="FFFFFFCC"/>
        <bgColor rgb="FFFFFFCC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7">
    <xf numFmtId="0" fontId="0" fillId="0" borderId="0"/>
    <xf numFmtId="0" fontId="5" fillId="0" borderId="0">
      <alignment vertical="center"/>
    </xf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>
      <alignment vertical="top"/>
    </xf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7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6" fillId="0" borderId="0"/>
    <xf numFmtId="0" fontId="17" fillId="18" borderId="0"/>
    <xf numFmtId="0" fontId="17" fillId="19" borderId="0"/>
    <xf numFmtId="0" fontId="16" fillId="20" borderId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8" fillId="5" borderId="0" applyNumberFormat="0" applyBorder="0" applyAlignment="0" applyProtection="0"/>
    <xf numFmtId="0" fontId="19" fillId="25" borderId="0"/>
    <xf numFmtId="0" fontId="19" fillId="25" borderId="0"/>
    <xf numFmtId="0" fontId="20" fillId="26" borderId="2" applyNumberFormat="0" applyAlignment="0" applyProtection="0"/>
    <xf numFmtId="0" fontId="21" fillId="27" borderId="3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2" fillId="28" borderId="0"/>
    <xf numFmtId="0" fontId="23" fillId="0" borderId="0" applyNumberFormat="0" applyFill="0" applyBorder="0" applyAlignment="0" applyProtection="0"/>
    <xf numFmtId="0" fontId="24" fillId="0" borderId="0"/>
    <xf numFmtId="0" fontId="25" fillId="6" borderId="0" applyNumberFormat="0" applyBorder="0" applyAlignment="0" applyProtection="0"/>
    <xf numFmtId="0" fontId="26" fillId="29" borderId="0"/>
    <xf numFmtId="0" fontId="26" fillId="29" borderId="0"/>
    <xf numFmtId="0" fontId="27" fillId="0" borderId="0"/>
    <xf numFmtId="0" fontId="28" fillId="0" borderId="4" applyNumberFormat="0" applyFill="0" applyAlignment="0" applyProtection="0"/>
    <xf numFmtId="0" fontId="29" fillId="0" borderId="0"/>
    <xf numFmtId="0" fontId="29" fillId="0" borderId="0"/>
    <xf numFmtId="0" fontId="30" fillId="0" borderId="5" applyNumberFormat="0" applyFill="0" applyAlignment="0" applyProtection="0"/>
    <xf numFmtId="0" fontId="31" fillId="0" borderId="0"/>
    <xf numFmtId="0" fontId="31" fillId="0" borderId="0"/>
    <xf numFmtId="0" fontId="32" fillId="0" borderId="6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0">
      <alignment horizontal="center"/>
    </xf>
    <xf numFmtId="0" fontId="27" fillId="0" borderId="0">
      <alignment textRotation="90"/>
    </xf>
    <xf numFmtId="0" fontId="33" fillId="0" borderId="0">
      <alignment horizontal="center" textRotation="90"/>
    </xf>
    <xf numFmtId="0" fontId="34" fillId="9" borderId="2" applyNumberFormat="0" applyAlignment="0" applyProtection="0"/>
    <xf numFmtId="0" fontId="35" fillId="0" borderId="7" applyNumberFormat="0" applyFill="0" applyAlignment="0" applyProtection="0"/>
    <xf numFmtId="0" fontId="36" fillId="30" borderId="0" applyNumberFormat="0" applyBorder="0" applyAlignment="0" applyProtection="0"/>
    <xf numFmtId="0" fontId="37" fillId="31" borderId="0"/>
    <xf numFmtId="0" fontId="37" fillId="31" borderId="0"/>
    <xf numFmtId="0" fontId="5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38" fillId="0" borderId="0"/>
    <xf numFmtId="0" fontId="39" fillId="0" borderId="0">
      <alignment vertical="top"/>
    </xf>
    <xf numFmtId="0" fontId="1" fillId="0" borderId="0"/>
    <xf numFmtId="0" fontId="40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5" fillId="0" borderId="0" applyNumberFormat="0" applyFill="0" applyBorder="0" applyAlignment="0" applyProtection="0"/>
    <xf numFmtId="0" fontId="5" fillId="32" borderId="8" applyNumberFormat="0" applyFont="0" applyAlignment="0" applyProtection="0"/>
    <xf numFmtId="0" fontId="42" fillId="31" borderId="9"/>
    <xf numFmtId="0" fontId="42" fillId="31" borderId="9"/>
    <xf numFmtId="0" fontId="43" fillId="26" borderId="10" applyNumberFormat="0" applyAlignment="0" applyProtection="0"/>
    <xf numFmtId="0" fontId="44" fillId="0" borderId="0"/>
    <xf numFmtId="0" fontId="45" fillId="0" borderId="0"/>
    <xf numFmtId="167" fontId="44" fillId="0" borderId="0"/>
    <xf numFmtId="167" fontId="45" fillId="0" borderId="0"/>
    <xf numFmtId="0" fontId="40" fillId="0" borderId="0"/>
    <xf numFmtId="0" fontId="46" fillId="0" borderId="0"/>
    <xf numFmtId="0" fontId="40" fillId="0" borderId="0"/>
    <xf numFmtId="0" fontId="47" fillId="0" borderId="0" applyNumberFormat="0" applyFill="0" applyBorder="0" applyAlignment="0" applyProtection="0"/>
    <xf numFmtId="0" fontId="48" fillId="0" borderId="11" applyNumberFormat="0" applyFill="0" applyAlignment="0" applyProtection="0"/>
    <xf numFmtId="0" fontId="19" fillId="0" borderId="0"/>
    <xf numFmtId="0" fontId="49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12" fontId="4" fillId="0" borderId="1" xfId="0" applyNumberFormat="1" applyFont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1" xfId="1" applyFont="1" applyFill="1" applyBorder="1" applyAlignment="1"/>
    <xf numFmtId="0" fontId="6" fillId="0" borderId="1" xfId="1" applyFont="1" applyFill="1" applyBorder="1" applyAlignment="1">
      <alignment horizontal="center"/>
    </xf>
    <xf numFmtId="1" fontId="3" fillId="0" borderId="1" xfId="2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right"/>
    </xf>
    <xf numFmtId="1" fontId="4" fillId="0" borderId="1" xfId="0" applyNumberFormat="1" applyFont="1" applyFill="1" applyBorder="1"/>
    <xf numFmtId="0" fontId="4" fillId="0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0" borderId="1" xfId="0" quotePrefix="1" applyFont="1" applyBorder="1"/>
    <xf numFmtId="0" fontId="5" fillId="0" borderId="1" xfId="3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6" fillId="0" borderId="1" xfId="4" applyFont="1" applyFill="1" applyBorder="1" applyAlignment="1"/>
    <xf numFmtId="0" fontId="4" fillId="0" borderId="0" xfId="0" applyFont="1" applyFill="1" applyAlignment="1">
      <alignment horizontal="center"/>
    </xf>
    <xf numFmtId="1" fontId="4" fillId="0" borderId="1" xfId="5" applyNumberFormat="1" applyFont="1" applyFill="1" applyBorder="1" applyAlignment="1">
      <alignment vertical="center"/>
    </xf>
    <xf numFmtId="0" fontId="4" fillId="0" borderId="1" xfId="0" applyFont="1" applyFill="1" applyBorder="1" applyAlignment="1"/>
    <xf numFmtId="1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1" xfId="0" applyFont="1" applyBorder="1" applyAlignment="1"/>
    <xf numFmtId="0" fontId="0" fillId="0" borderId="1" xfId="0" quotePrefix="1" applyFont="1" applyFill="1" applyBorder="1"/>
    <xf numFmtId="0" fontId="7" fillId="3" borderId="0" xfId="0" applyFont="1" applyFill="1" applyAlignment="1">
      <alignment horizontal="center"/>
    </xf>
    <xf numFmtId="17" fontId="4" fillId="0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/>
    <xf numFmtId="1" fontId="4" fillId="0" borderId="1" xfId="0" applyNumberFormat="1" applyFont="1" applyFill="1" applyBorder="1" applyAlignment="1">
      <alignment horizontal="center"/>
    </xf>
    <xf numFmtId="0" fontId="4" fillId="0" borderId="1" xfId="0" quotePrefix="1" applyFont="1" applyFill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8" fillId="0" borderId="1" xfId="6" applyFont="1" applyFill="1" applyBorder="1"/>
    <xf numFmtId="0" fontId="8" fillId="0" borderId="1" xfId="6" quotePrefix="1" applyFont="1" applyFill="1" applyBorder="1"/>
    <xf numFmtId="0" fontId="9" fillId="0" borderId="1" xfId="1" applyFont="1" applyFill="1" applyBorder="1" applyAlignment="1"/>
    <xf numFmtId="0" fontId="0" fillId="0" borderId="1" xfId="0" applyBorder="1" applyAlignment="1"/>
    <xf numFmtId="0" fontId="4" fillId="0" borderId="1" xfId="0" quotePrefix="1" applyFont="1" applyFill="1" applyBorder="1"/>
    <xf numFmtId="0" fontId="10" fillId="0" borderId="1" xfId="4" applyFont="1" applyFill="1" applyBorder="1" applyAlignment="1"/>
    <xf numFmtId="0" fontId="3" fillId="0" borderId="1" xfId="0" applyFont="1" applyBorder="1"/>
    <xf numFmtId="12" fontId="11" fillId="0" borderId="1" xfId="0" applyNumberFormat="1" applyFont="1" applyBorder="1" applyAlignment="1">
      <alignment horizontal="left"/>
    </xf>
    <xf numFmtId="0" fontId="4" fillId="3" borderId="1" xfId="0" applyFont="1" applyFill="1" applyBorder="1"/>
    <xf numFmtId="0" fontId="4" fillId="0" borderId="1" xfId="0" quotePrefix="1" applyFont="1" applyBorder="1" applyAlignment="1"/>
    <xf numFmtId="0" fontId="12" fillId="0" borderId="1" xfId="0" applyFont="1" applyBorder="1"/>
    <xf numFmtId="49" fontId="11" fillId="0" borderId="1" xfId="0" applyNumberFormat="1" applyFont="1" applyBorder="1" applyAlignment="1">
      <alignment horizontal="left" vertical="center"/>
    </xf>
    <xf numFmtId="1" fontId="4" fillId="0" borderId="1" xfId="5" quotePrefix="1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0" fontId="11" fillId="0" borderId="1" xfId="0" quotePrefix="1" applyFont="1" applyBorder="1" applyAlignment="1">
      <alignment horizontal="left"/>
    </xf>
    <xf numFmtId="1" fontId="4" fillId="0" borderId="1" xfId="5" applyNumberFormat="1" applyFont="1" applyFill="1" applyBorder="1" applyAlignment="1">
      <alignment horizontal="left" vertical="center"/>
    </xf>
    <xf numFmtId="0" fontId="4" fillId="0" borderId="1" xfId="0" applyFont="1" applyBorder="1"/>
    <xf numFmtId="0" fontId="13" fillId="0" borderId="1" xfId="0" applyFont="1" applyFill="1" applyBorder="1" applyAlignment="1">
      <alignment vertical="top"/>
    </xf>
    <xf numFmtId="12" fontId="11" fillId="0" borderId="1" xfId="0" applyNumberFormat="1" applyFont="1" applyBorder="1" applyAlignment="1">
      <alignment horizontal="left" vertical="center"/>
    </xf>
    <xf numFmtId="0" fontId="9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right"/>
    </xf>
  </cellXfs>
  <cellStyles count="117">
    <cellStyle name="%" xfId="7"/>
    <cellStyle name="=C:\WINNT\SYSTEM32\COMMAND.COM" xfId="8"/>
    <cellStyle name="20% - Accent1 2" xfId="9"/>
    <cellStyle name="20% - Accent2 2" xfId="10"/>
    <cellStyle name="20% - Accent3 2" xfId="11"/>
    <cellStyle name="20% - Accent4 2" xfId="12"/>
    <cellStyle name="20% - Accent5 2" xfId="13"/>
    <cellStyle name="20% - Accent6 2" xfId="14"/>
    <cellStyle name="40% - Accent1 2" xfId="15"/>
    <cellStyle name="40% - Accent2 2" xfId="16"/>
    <cellStyle name="40% - Accent3 2" xfId="17"/>
    <cellStyle name="40% - Accent4 2" xfId="18"/>
    <cellStyle name="40% - Accent5 2" xfId="19"/>
    <cellStyle name="40% - Accent6 2" xfId="20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Accent" xfId="27"/>
    <cellStyle name="Accent 1" xfId="28"/>
    <cellStyle name="Accent 2" xfId="29"/>
    <cellStyle name="Accent 3" xfId="30"/>
    <cellStyle name="Accent1 2" xfId="31"/>
    <cellStyle name="Accent2 2" xfId="32"/>
    <cellStyle name="Accent3 2" xfId="33"/>
    <cellStyle name="Accent4 2" xfId="34"/>
    <cellStyle name="Accent5 2" xfId="35"/>
    <cellStyle name="Accent6 2" xfId="36"/>
    <cellStyle name="Bad 2" xfId="37"/>
    <cellStyle name="Bad 2 2" xfId="38"/>
    <cellStyle name="Bad 3" xfId="39"/>
    <cellStyle name="Calculation 2" xfId="40"/>
    <cellStyle name="Check Cell 2" xfId="41"/>
    <cellStyle name="Comma 2" xfId="42"/>
    <cellStyle name="Comma 2 2" xfId="43"/>
    <cellStyle name="Comma 2 2 2 2" xfId="44"/>
    <cellStyle name="Comma 2 2 2 4" xfId="2"/>
    <cellStyle name="Comma 2 3" xfId="45"/>
    <cellStyle name="Comma 3" xfId="46"/>
    <cellStyle name="Currency 2" xfId="47"/>
    <cellStyle name="Error" xfId="48"/>
    <cellStyle name="Explanatory Text 2" xfId="49"/>
    <cellStyle name="Footnote" xfId="50"/>
    <cellStyle name="Good 2" xfId="51"/>
    <cellStyle name="Good 2 2" xfId="52"/>
    <cellStyle name="Good 3" xfId="53"/>
    <cellStyle name="Heading" xfId="54"/>
    <cellStyle name="Heading 1 2" xfId="55"/>
    <cellStyle name="Heading 1 2 2" xfId="56"/>
    <cellStyle name="Heading 1 3" xfId="57"/>
    <cellStyle name="Heading 2 2" xfId="58"/>
    <cellStyle name="Heading 2 2 2" xfId="59"/>
    <cellStyle name="Heading 2 3" xfId="60"/>
    <cellStyle name="Heading 3 2" xfId="61"/>
    <cellStyle name="Heading 4 2" xfId="62"/>
    <cellStyle name="Heading 5" xfId="63"/>
    <cellStyle name="Heading1" xfId="64"/>
    <cellStyle name="Heading1 2" xfId="65"/>
    <cellStyle name="Input 2" xfId="66"/>
    <cellStyle name="Linked Cell 2" xfId="67"/>
    <cellStyle name="Neutral 2" xfId="68"/>
    <cellStyle name="Neutral 2 2" xfId="69"/>
    <cellStyle name="Neutral 3" xfId="70"/>
    <cellStyle name="Normal" xfId="0" builtinId="0"/>
    <cellStyle name="Normal 10 2" xfId="71"/>
    <cellStyle name="Normal 10 3" xfId="72"/>
    <cellStyle name="Normal 11" xfId="73"/>
    <cellStyle name="Normal 13 3" xfId="74"/>
    <cellStyle name="Normal 14 2" xfId="75"/>
    <cellStyle name="Normal 14 2 2" xfId="76"/>
    <cellStyle name="Normal 14 2 2 6" xfId="77"/>
    <cellStyle name="Normal 16" xfId="78"/>
    <cellStyle name="Normal 17" xfId="79"/>
    <cellStyle name="Normal 17 2" xfId="80"/>
    <cellStyle name="Normal 17 3" xfId="5"/>
    <cellStyle name="Normal 18" xfId="81"/>
    <cellStyle name="Normal 2" xfId="4"/>
    <cellStyle name="Normal 2 10" xfId="82"/>
    <cellStyle name="Normal 2 10 2" xfId="83"/>
    <cellStyle name="Normal 2 2" xfId="84"/>
    <cellStyle name="Normal 2 2 2" xfId="85"/>
    <cellStyle name="Normal 2 2 2 2" xfId="86"/>
    <cellStyle name="Normal 2 2 2 2 2" xfId="87"/>
    <cellStyle name="Normal 2 2 2 3" xfId="88"/>
    <cellStyle name="Normal 2 2 3" xfId="89"/>
    <cellStyle name="Normal 2 2 4" xfId="90"/>
    <cellStyle name="Normal 2 2 5" xfId="91"/>
    <cellStyle name="Normal 2 2 5 2" xfId="92"/>
    <cellStyle name="Normal 2 2 6" xfId="93"/>
    <cellStyle name="Normal 2 3" xfId="94"/>
    <cellStyle name="Normal 2 6" xfId="1"/>
    <cellStyle name="Normal 26" xfId="6"/>
    <cellStyle name="Normal 3" xfId="95"/>
    <cellStyle name="Normal 3 2" xfId="96"/>
    <cellStyle name="Normal 3 3" xfId="97"/>
    <cellStyle name="Normal 4" xfId="98"/>
    <cellStyle name="Normal 5" xfId="99"/>
    <cellStyle name="Normal 6" xfId="100"/>
    <cellStyle name="Normal 7" xfId="101"/>
    <cellStyle name="Normal 7 2 2" xfId="3"/>
    <cellStyle name="Note 2" xfId="102"/>
    <cellStyle name="Note 2 2" xfId="103"/>
    <cellStyle name="Note 3" xfId="104"/>
    <cellStyle name="Output 2" xfId="105"/>
    <cellStyle name="Result" xfId="106"/>
    <cellStyle name="Result 2" xfId="107"/>
    <cellStyle name="Result2" xfId="108"/>
    <cellStyle name="Result2 2" xfId="109"/>
    <cellStyle name="Status" xfId="110"/>
    <cellStyle name="Style 1" xfId="111"/>
    <cellStyle name="Text" xfId="112"/>
    <cellStyle name="Title 2" xfId="113"/>
    <cellStyle name="Total 2" xfId="114"/>
    <cellStyle name="Warning" xfId="115"/>
    <cellStyle name="Warning Text 2" xfId="116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\_COMPANY%20DATA\_FOUNDTECH%20ENGG\03%20KFIL%20SOLAPUR_kirloskar\_%20Monthly%20working\2026-2027\A)%20APR-26\wages\Wages%20April-2026%20Line-0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lesh Send Tannage "/>
      <sheetName val="nilesh sir tannage"/>
      <sheetName val="FINAL TANNAGE AMO."/>
      <sheetName val="REWORK"/>
      <sheetName val="Google attandance April -26"/>
      <sheetName val="line-01 cupan"/>
      <sheetName val="Name Details"/>
      <sheetName val="ESIC NAME"/>
      <sheetName val="Work"/>
      <sheetName val="(PF) WAGESH APR-26 Line-01 "/>
      <sheetName val="TANNAGE WAGESH April-26"/>
      <sheetName val="Regular April-26"/>
      <sheetName val="Bank Pay  April-26"/>
      <sheetName val="Insentive April-2026"/>
      <sheetName val="(PF) WAGESH July 25 Line-01 (2"/>
      <sheetName val="yanmark Nov-25"/>
      <sheetName val="Sheet1"/>
      <sheetName val="Sheet2"/>
      <sheetName val="Sheet4"/>
    </sheetNames>
    <sheetDataSet>
      <sheetData sheetId="0"/>
      <sheetData sheetId="1"/>
      <sheetData sheetId="2"/>
      <sheetData sheetId="3"/>
      <sheetData sheetId="4">
        <row r="1">
          <cell r="I1" t="str">
            <v xml:space="preserve"> </v>
          </cell>
        </row>
        <row r="2">
          <cell r="C2" t="str">
            <v>UNA No.</v>
          </cell>
          <cell r="D2" t="str">
            <v>Emp Name</v>
          </cell>
          <cell r="F2">
            <v>1</v>
          </cell>
          <cell r="G2">
            <v>2</v>
          </cell>
          <cell r="H2">
            <v>3</v>
          </cell>
          <cell r="I2">
            <v>4</v>
          </cell>
          <cell r="J2">
            <v>5</v>
          </cell>
          <cell r="K2">
            <v>6</v>
          </cell>
          <cell r="L2">
            <v>7</v>
          </cell>
          <cell r="M2">
            <v>8</v>
          </cell>
          <cell r="N2">
            <v>9</v>
          </cell>
          <cell r="O2">
            <v>10</v>
          </cell>
          <cell r="P2">
            <v>11</v>
          </cell>
          <cell r="Q2">
            <v>12</v>
          </cell>
          <cell r="R2">
            <v>13</v>
          </cell>
          <cell r="S2">
            <v>14</v>
          </cell>
          <cell r="T2">
            <v>15</v>
          </cell>
          <cell r="U2">
            <v>16</v>
          </cell>
          <cell r="V2">
            <v>17</v>
          </cell>
          <cell r="W2">
            <v>18</v>
          </cell>
          <cell r="X2">
            <v>19</v>
          </cell>
          <cell r="Y2">
            <v>20</v>
          </cell>
          <cell r="Z2">
            <v>21</v>
          </cell>
          <cell r="AA2">
            <v>22</v>
          </cell>
          <cell r="AB2">
            <v>23</v>
          </cell>
          <cell r="AC2">
            <v>24</v>
          </cell>
          <cell r="AD2">
            <v>25</v>
          </cell>
          <cell r="AE2">
            <v>26</v>
          </cell>
          <cell r="AF2">
            <v>27</v>
          </cell>
          <cell r="AG2">
            <v>28</v>
          </cell>
          <cell r="AH2">
            <v>29</v>
          </cell>
          <cell r="AI2">
            <v>30</v>
          </cell>
          <cell r="AJ2" t="str">
            <v>Total</v>
          </cell>
        </row>
        <row r="3">
          <cell r="C3">
            <v>101540070377</v>
          </cell>
          <cell r="D3" t="str">
            <v xml:space="preserve">SANTOSH LAXMAN KOLI </v>
          </cell>
          <cell r="E3" t="str">
            <v>AVG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2</v>
          </cell>
          <cell r="AE3">
            <v>2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18</v>
          </cell>
          <cell r="AK3" t="str">
            <v>Mr. SANTOSH LAXMAN KOLI</v>
          </cell>
          <cell r="AL3" t="e">
            <v>#N/A</v>
          </cell>
          <cell r="AN3" t="str">
            <v>Mr. SANTOSH LAXMAN KOLI</v>
          </cell>
          <cell r="AO3" t="b">
            <v>1</v>
          </cell>
          <cell r="AP3" t="str">
            <v>FOU29</v>
          </cell>
        </row>
        <row r="4">
          <cell r="C4">
            <v>101424675655</v>
          </cell>
          <cell r="D4" t="str">
            <v xml:space="preserve">VIJAY VISHNU MANE </v>
          </cell>
          <cell r="E4" t="str">
            <v>AVG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L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B4">
            <v>1</v>
          </cell>
          <cell r="AC4">
            <v>1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26</v>
          </cell>
          <cell r="AK4" t="str">
            <v>Mr. VIJAY MANE</v>
          </cell>
          <cell r="AL4">
            <v>487.18000000000012</v>
          </cell>
          <cell r="AM4">
            <v>487.18000000000012</v>
          </cell>
          <cell r="AN4" t="str">
            <v>Mr. VIJAY MANE</v>
          </cell>
          <cell r="AO4" t="b">
            <v>1</v>
          </cell>
          <cell r="AP4" t="str">
            <v>FOU28</v>
          </cell>
        </row>
        <row r="5">
          <cell r="C5">
            <v>102090872186</v>
          </cell>
          <cell r="D5" t="str">
            <v>MAHESH BABUSHA LANDAGE</v>
          </cell>
          <cell r="E5" t="str">
            <v>AVG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F5">
            <v>1</v>
          </cell>
          <cell r="AG5">
            <v>1</v>
          </cell>
          <cell r="AH5">
            <v>1</v>
          </cell>
          <cell r="AJ5">
            <v>25</v>
          </cell>
          <cell r="AK5" t="str">
            <v>Mr. MAHESH BABUSHA LANDAGE</v>
          </cell>
          <cell r="AL5">
            <v>391.2600000000001</v>
          </cell>
          <cell r="AM5">
            <v>391.2600000000001</v>
          </cell>
          <cell r="AN5" t="str">
            <v>Mr. MAHESH BABUSHA LANDAGE</v>
          </cell>
          <cell r="AO5" t="b">
            <v>1</v>
          </cell>
          <cell r="AP5" t="str">
            <v>FOU277</v>
          </cell>
        </row>
        <row r="6">
          <cell r="C6">
            <v>101960331774</v>
          </cell>
          <cell r="D6" t="str">
            <v>SAMARTH IRRANA DHAVANE</v>
          </cell>
          <cell r="E6" t="str">
            <v>AVG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1.5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B6">
            <v>1</v>
          </cell>
          <cell r="AC6">
            <v>1</v>
          </cell>
          <cell r="AG6">
            <v>1</v>
          </cell>
          <cell r="AH6">
            <v>1</v>
          </cell>
          <cell r="AI6">
            <v>1</v>
          </cell>
          <cell r="AJ6">
            <v>25.5</v>
          </cell>
          <cell r="AK6" t="str">
            <v>Mr. SAMARTH IRANNA DHAVANE</v>
          </cell>
          <cell r="AL6">
            <v>154.24000000000004</v>
          </cell>
          <cell r="AM6">
            <v>154.24000000000004</v>
          </cell>
          <cell r="AN6" t="str">
            <v>Mr. SAMARTH IRANNA DHAVANE</v>
          </cell>
          <cell r="AO6" t="b">
            <v>1</v>
          </cell>
          <cell r="AP6" t="str">
            <v>FOU367</v>
          </cell>
        </row>
        <row r="7">
          <cell r="C7">
            <v>102267132379</v>
          </cell>
          <cell r="D7" t="str">
            <v xml:space="preserve"> VISHAL RAJKUMAR KOLI</v>
          </cell>
          <cell r="E7" t="str">
            <v>AVG</v>
          </cell>
          <cell r="F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I7">
            <v>0.5</v>
          </cell>
          <cell r="AJ7">
            <v>23.5</v>
          </cell>
          <cell r="AK7" t="str">
            <v>Mr. VISHAL RAJKUMAR KOLI</v>
          </cell>
          <cell r="AL7">
            <v>448.66</v>
          </cell>
          <cell r="AM7">
            <v>448.66</v>
          </cell>
          <cell r="AN7" t="str">
            <v>Mr. VISHAL RAJKUMAR KOLI</v>
          </cell>
          <cell r="AO7" t="b">
            <v>1</v>
          </cell>
          <cell r="AP7" t="str">
            <v>FOU703</v>
          </cell>
        </row>
        <row r="8">
          <cell r="C8">
            <v>101281737627</v>
          </cell>
          <cell r="D8" t="str">
            <v>AVINASH PATANGE</v>
          </cell>
          <cell r="E8" t="str">
            <v>AVG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S8">
            <v>1</v>
          </cell>
          <cell r="X8">
            <v>1</v>
          </cell>
          <cell r="Y8">
            <v>1</v>
          </cell>
          <cell r="Z8">
            <v>1</v>
          </cell>
          <cell r="AB8">
            <v>1</v>
          </cell>
          <cell r="AD8">
            <v>1</v>
          </cell>
          <cell r="AE8">
            <v>1</v>
          </cell>
          <cell r="AF8">
            <v>1</v>
          </cell>
          <cell r="AJ8">
            <v>16</v>
          </cell>
          <cell r="AK8" t="str">
            <v>Mr. AVINASH NILKANTH PATANGE</v>
          </cell>
          <cell r="AL8">
            <v>146.71000000000004</v>
          </cell>
          <cell r="AM8">
            <v>146.71000000000004</v>
          </cell>
          <cell r="AN8" t="str">
            <v>Mr. AVINASH NILKANTH PATANGE</v>
          </cell>
          <cell r="AO8" t="b">
            <v>1</v>
          </cell>
          <cell r="AP8" t="str">
            <v>FOU79</v>
          </cell>
        </row>
        <row r="9">
          <cell r="C9" t="str">
            <v>SAMARTH MANJUNATH SIRSAT</v>
          </cell>
          <cell r="D9" t="str">
            <v>SAMARTH MANJUNATH SIRSAT</v>
          </cell>
          <cell r="E9" t="str">
            <v>AVG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O9">
            <v>1</v>
          </cell>
          <cell r="P9">
            <v>1</v>
          </cell>
          <cell r="Q9">
            <v>1</v>
          </cell>
          <cell r="T9">
            <v>1</v>
          </cell>
          <cell r="U9">
            <v>2</v>
          </cell>
          <cell r="V9">
            <v>1</v>
          </cell>
          <cell r="W9">
            <v>1</v>
          </cell>
          <cell r="Y9">
            <v>1</v>
          </cell>
          <cell r="Z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H9">
            <v>1</v>
          </cell>
          <cell r="AJ9">
            <v>22</v>
          </cell>
          <cell r="AK9" t="e">
            <v>#N/A</v>
          </cell>
          <cell r="AL9" t="e">
            <v>#N/A</v>
          </cell>
          <cell r="AN9" t="str">
            <v>SAMARTH MANJUNATH SIRSAT</v>
          </cell>
          <cell r="AO9" t="e">
            <v>#N/A</v>
          </cell>
          <cell r="AP9">
            <v>0</v>
          </cell>
        </row>
        <row r="10">
          <cell r="C10" t="str">
            <v>TURBE PARSHURAM MARUTI</v>
          </cell>
          <cell r="D10" t="str">
            <v>TURBE PARSHURAM MARUTI</v>
          </cell>
          <cell r="E10" t="str">
            <v>AVG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N10">
            <v>1</v>
          </cell>
          <cell r="O10">
            <v>1</v>
          </cell>
          <cell r="R10">
            <v>1</v>
          </cell>
          <cell r="S10">
            <v>1</v>
          </cell>
          <cell r="U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I10">
            <v>1</v>
          </cell>
          <cell r="AJ10">
            <v>16</v>
          </cell>
          <cell r="AK10" t="e">
            <v>#N/A</v>
          </cell>
          <cell r="AL10">
            <v>337.15</v>
          </cell>
          <cell r="AM10">
            <v>337.15</v>
          </cell>
          <cell r="AN10" t="str">
            <v>TURBE PARSHURAM MARUTI</v>
          </cell>
          <cell r="AO10" t="e">
            <v>#N/A</v>
          </cell>
          <cell r="AP10" t="str">
            <v>FOU850</v>
          </cell>
        </row>
        <row r="11">
          <cell r="C11">
            <v>101623086404</v>
          </cell>
          <cell r="D11" t="str">
            <v>BANDENAVAJ MULLA</v>
          </cell>
          <cell r="E11" t="str">
            <v>AVG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N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J11">
            <v>24</v>
          </cell>
          <cell r="AK11" t="str">
            <v>Mr. BANDENAWAJ SAIPAN MULLA</v>
          </cell>
          <cell r="AL11">
            <v>433.21000000000009</v>
          </cell>
          <cell r="AM11">
            <v>433.21000000000009</v>
          </cell>
          <cell r="AN11" t="str">
            <v>Mr. BANDENAWAJ SAIPAN MULLA</v>
          </cell>
          <cell r="AO11" t="b">
            <v>1</v>
          </cell>
          <cell r="AP11" t="str">
            <v>FOU328</v>
          </cell>
        </row>
        <row r="12">
          <cell r="C12">
            <v>102028098436</v>
          </cell>
          <cell r="D12" t="str">
            <v xml:space="preserve">BASAVARAJ TALWAR </v>
          </cell>
          <cell r="E12" t="str">
            <v>AVG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2</v>
          </cell>
          <cell r="AB12">
            <v>1</v>
          </cell>
          <cell r="AC12">
            <v>1</v>
          </cell>
          <cell r="AD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28</v>
          </cell>
          <cell r="AK12" t="str">
            <v>Mr. BSAVRAJ IRANNA TALWAR</v>
          </cell>
          <cell r="AL12">
            <v>413.8</v>
          </cell>
          <cell r="AM12">
            <v>413.8</v>
          </cell>
          <cell r="AN12" t="str">
            <v>Mr. BSAVRAJ IRANNA TALWAR</v>
          </cell>
          <cell r="AO12" t="b">
            <v>1</v>
          </cell>
          <cell r="AP12" t="str">
            <v>FOU84</v>
          </cell>
        </row>
        <row r="13">
          <cell r="C13">
            <v>101951607402</v>
          </cell>
          <cell r="D13" t="str">
            <v>DAVALSAB NADAF MATTU</v>
          </cell>
          <cell r="E13" t="str">
            <v>AVG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2</v>
          </cell>
          <cell r="AI13">
            <v>2</v>
          </cell>
          <cell r="AJ13">
            <v>30</v>
          </cell>
          <cell r="AK13" t="str">
            <v>Mr. DAVALSAB MATTU NADAF</v>
          </cell>
          <cell r="AL13">
            <v>195.63000000000005</v>
          </cell>
          <cell r="AM13">
            <v>195.63000000000005</v>
          </cell>
          <cell r="AN13" t="str">
            <v>Mr. DAVALSAB MATTU NADAF</v>
          </cell>
          <cell r="AO13" t="b">
            <v>1</v>
          </cell>
          <cell r="AP13" t="str">
            <v>FOU56</v>
          </cell>
        </row>
        <row r="14">
          <cell r="C14">
            <v>101969547233</v>
          </cell>
          <cell r="D14" t="str">
            <v>HEMANT ANAVIRAPPA NANDURE</v>
          </cell>
          <cell r="E14" t="str">
            <v>AVG</v>
          </cell>
          <cell r="G14">
            <v>1</v>
          </cell>
          <cell r="H14">
            <v>1</v>
          </cell>
          <cell r="I14">
            <v>1</v>
          </cell>
          <cell r="N14">
            <v>1</v>
          </cell>
          <cell r="O14">
            <v>1</v>
          </cell>
          <cell r="P14">
            <v>1</v>
          </cell>
          <cell r="R14">
            <v>1</v>
          </cell>
          <cell r="S14">
            <v>1</v>
          </cell>
          <cell r="U14">
            <v>1</v>
          </cell>
          <cell r="V14">
            <v>1</v>
          </cell>
          <cell r="W14">
            <v>1</v>
          </cell>
          <cell r="X14">
            <v>0.5</v>
          </cell>
          <cell r="Y14">
            <v>1</v>
          </cell>
          <cell r="Z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1</v>
          </cell>
          <cell r="AJ14">
            <v>21.5</v>
          </cell>
          <cell r="AK14" t="str">
            <v>Mr. NANDURE HEMANT ANAVIRAPPA</v>
          </cell>
          <cell r="AL14">
            <v>236.97000000000008</v>
          </cell>
          <cell r="AM14">
            <v>236.97000000000008</v>
          </cell>
          <cell r="AN14" t="str">
            <v>Mr. NANDURE HEMANT ANAVIRAPPA</v>
          </cell>
          <cell r="AO14" t="b">
            <v>1</v>
          </cell>
          <cell r="AP14" t="str">
            <v>FOU63</v>
          </cell>
        </row>
        <row r="15">
          <cell r="C15">
            <v>102043325356</v>
          </cell>
          <cell r="D15" t="str">
            <v>AKIB SHAIKH</v>
          </cell>
          <cell r="E15" t="str">
            <v>AVG</v>
          </cell>
          <cell r="F15">
            <v>1</v>
          </cell>
          <cell r="G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J15">
            <v>27</v>
          </cell>
          <cell r="AK15" t="str">
            <v>Mr. AKIB SHAIKH</v>
          </cell>
          <cell r="AL15">
            <v>165.51000000000005</v>
          </cell>
          <cell r="AM15">
            <v>165.51000000000005</v>
          </cell>
          <cell r="AN15" t="str">
            <v>Mr. AKIB SHAIKH</v>
          </cell>
          <cell r="AO15" t="b">
            <v>1</v>
          </cell>
          <cell r="AP15" t="str">
            <v>FOU90</v>
          </cell>
        </row>
        <row r="16">
          <cell r="C16">
            <v>101958132802</v>
          </cell>
          <cell r="D16" t="str">
            <v>IRANNA IDDHARAM KANNI</v>
          </cell>
          <cell r="E16" t="str">
            <v>AVG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U16">
            <v>1</v>
          </cell>
          <cell r="V16">
            <v>1</v>
          </cell>
          <cell r="W16">
            <v>1</v>
          </cell>
          <cell r="Y16">
            <v>1</v>
          </cell>
          <cell r="Z16">
            <v>1</v>
          </cell>
          <cell r="AC16">
            <v>1</v>
          </cell>
          <cell r="AD16">
            <v>1</v>
          </cell>
          <cell r="AF16">
            <v>1</v>
          </cell>
          <cell r="AH16">
            <v>1</v>
          </cell>
          <cell r="AI16">
            <v>1</v>
          </cell>
          <cell r="AJ16">
            <v>22</v>
          </cell>
          <cell r="AK16" t="str">
            <v>Mr. IRANNA SIDDHARAM KANNI</v>
          </cell>
          <cell r="AL16">
            <v>183.05000000000004</v>
          </cell>
          <cell r="AM16">
            <v>183.05000000000004</v>
          </cell>
          <cell r="AN16" t="str">
            <v>Mr. IRANNA SIDDHARAM KANNI</v>
          </cell>
          <cell r="AO16" t="b">
            <v>1</v>
          </cell>
          <cell r="AP16" t="str">
            <v>FOU625</v>
          </cell>
        </row>
        <row r="17">
          <cell r="C17" t="str">
            <v>SAQIB SAYYAD</v>
          </cell>
          <cell r="D17" t="str">
            <v>SAQIB SAYYAD</v>
          </cell>
          <cell r="E17" t="str">
            <v>AVG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X17">
            <v>1</v>
          </cell>
          <cell r="Y17">
            <v>1</v>
          </cell>
          <cell r="AB17">
            <v>2</v>
          </cell>
          <cell r="AD17">
            <v>2</v>
          </cell>
          <cell r="AE17">
            <v>1</v>
          </cell>
          <cell r="AF17">
            <v>2</v>
          </cell>
          <cell r="AG17">
            <v>0.5</v>
          </cell>
          <cell r="AH17">
            <v>1</v>
          </cell>
          <cell r="AI17">
            <v>1</v>
          </cell>
          <cell r="AJ17">
            <v>26.5</v>
          </cell>
          <cell r="AK17" t="e">
            <v>#N/A</v>
          </cell>
          <cell r="AL17">
            <v>423.25000000000011</v>
          </cell>
          <cell r="AM17">
            <v>423</v>
          </cell>
          <cell r="AN17" t="str">
            <v>SAQIB SAYYAD</v>
          </cell>
          <cell r="AO17" t="e">
            <v>#N/A</v>
          </cell>
          <cell r="AP17" t="str">
            <v>FOU75</v>
          </cell>
        </row>
        <row r="18">
          <cell r="C18">
            <v>102232142117</v>
          </cell>
          <cell r="D18" t="str">
            <v>AYAN ARIF USTAD</v>
          </cell>
          <cell r="E18" t="str">
            <v>AVG</v>
          </cell>
          <cell r="AJ18">
            <v>0</v>
          </cell>
          <cell r="AK18" t="str">
            <v>Mr. AYAN ARIF USTAD</v>
          </cell>
          <cell r="AL18" t="e">
            <v>#N/A</v>
          </cell>
          <cell r="AN18" t="str">
            <v>Mr. AYAN ARIF USTAD</v>
          </cell>
          <cell r="AO18" t="b">
            <v>1</v>
          </cell>
          <cell r="AP18" t="str">
            <v>FOU624</v>
          </cell>
        </row>
        <row r="19">
          <cell r="C19">
            <v>101216844424</v>
          </cell>
          <cell r="D19" t="str">
            <v>HUSEN BABULAL NADAF</v>
          </cell>
          <cell r="E19" t="str">
            <v>AVG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Q19">
            <v>1</v>
          </cell>
          <cell r="R19">
            <v>1</v>
          </cell>
          <cell r="S19">
            <v>1</v>
          </cell>
          <cell r="U19">
            <v>1</v>
          </cell>
          <cell r="V19">
            <v>1</v>
          </cell>
          <cell r="W19">
            <v>1</v>
          </cell>
          <cell r="AB19">
            <v>1</v>
          </cell>
          <cell r="AC19">
            <v>1</v>
          </cell>
          <cell r="AD19">
            <v>1</v>
          </cell>
          <cell r="AJ19">
            <v>15</v>
          </cell>
          <cell r="AK19" t="str">
            <v>Mr. HUSEN NADAF</v>
          </cell>
          <cell r="AL19" t="e">
            <v>#N/A</v>
          </cell>
          <cell r="AN19" t="str">
            <v>Mr. HUSEN NADAF</v>
          </cell>
          <cell r="AO19" t="b">
            <v>1</v>
          </cell>
          <cell r="AP19">
            <v>0</v>
          </cell>
        </row>
        <row r="20">
          <cell r="C20">
            <v>102192447029</v>
          </cell>
          <cell r="D20" t="str">
            <v>PAGA GURURAJ MAHANTESH</v>
          </cell>
          <cell r="E20" t="str">
            <v>AVG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2</v>
          </cell>
          <cell r="AI20">
            <v>1</v>
          </cell>
          <cell r="AJ20">
            <v>24</v>
          </cell>
          <cell r="AK20" t="str">
            <v>Mr. GURURAJ MAHANTESH PAGA</v>
          </cell>
          <cell r="AL20">
            <v>389.73</v>
          </cell>
          <cell r="AM20">
            <v>389.73</v>
          </cell>
          <cell r="AN20" t="str">
            <v>Mr. GURURAJ MAHANTESH PAGA</v>
          </cell>
          <cell r="AO20" t="b">
            <v>1</v>
          </cell>
          <cell r="AP20" t="str">
            <v>FOU675</v>
          </cell>
        </row>
        <row r="21">
          <cell r="C21">
            <v>102043325341</v>
          </cell>
          <cell r="D21" t="str">
            <v xml:space="preserve">SAGAR  PATIL </v>
          </cell>
          <cell r="E21" t="str">
            <v>AVG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28</v>
          </cell>
          <cell r="AK21" t="str">
            <v>Mr. SAGAR CHANDRASHEKHAR PATIL</v>
          </cell>
          <cell r="AL21">
            <v>13.36</v>
          </cell>
          <cell r="AM21">
            <v>13.36</v>
          </cell>
          <cell r="AN21" t="str">
            <v>Mr. SAGAR CHANDRASHEKHAR PATIL</v>
          </cell>
          <cell r="AO21" t="b">
            <v>1</v>
          </cell>
          <cell r="AP21" t="str">
            <v>FOU91</v>
          </cell>
        </row>
        <row r="22">
          <cell r="C22">
            <v>100590315745</v>
          </cell>
          <cell r="D22" t="str">
            <v>DARGAPPA  SHIVANAND ARAVAT</v>
          </cell>
          <cell r="E22" t="str">
            <v>AVG</v>
          </cell>
          <cell r="G22">
            <v>1</v>
          </cell>
          <cell r="H22">
            <v>2</v>
          </cell>
          <cell r="J22">
            <v>1</v>
          </cell>
          <cell r="K22">
            <v>1</v>
          </cell>
          <cell r="L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C22">
            <v>1</v>
          </cell>
          <cell r="AD22">
            <v>1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1</v>
          </cell>
          <cell r="AJ22">
            <v>25</v>
          </cell>
          <cell r="AK22" t="str">
            <v>Mr. DARGAPPA SHIVANAND ARWAT</v>
          </cell>
          <cell r="AL22">
            <v>186.79000000000002</v>
          </cell>
          <cell r="AM22">
            <v>186.79000000000002</v>
          </cell>
          <cell r="AN22" t="str">
            <v>Mr. DARGAPPA SHIVANAND ARWAT</v>
          </cell>
          <cell r="AO22" t="b">
            <v>1</v>
          </cell>
          <cell r="AP22" t="str">
            <v>FOU61</v>
          </cell>
        </row>
        <row r="23">
          <cell r="C23">
            <v>101475240602</v>
          </cell>
          <cell r="D23" t="str">
            <v>ANIL  GOVIND MALI</v>
          </cell>
          <cell r="E23" t="str">
            <v xml:space="preserve">FINAL 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P23">
            <v>1</v>
          </cell>
          <cell r="R23">
            <v>1</v>
          </cell>
          <cell r="S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0.5</v>
          </cell>
          <cell r="Z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20.5</v>
          </cell>
          <cell r="AK23" t="str">
            <v>Mr. ANIL G MALI</v>
          </cell>
          <cell r="AL23">
            <v>84.600000000000009</v>
          </cell>
          <cell r="AM23">
            <v>84.600000000000009</v>
          </cell>
          <cell r="AN23" t="str">
            <v>Mr. ANIL G MALI</v>
          </cell>
          <cell r="AO23" t="b">
            <v>1</v>
          </cell>
          <cell r="AP23" t="str">
            <v>FOU21</v>
          </cell>
        </row>
        <row r="24">
          <cell r="C24">
            <v>101492178974</v>
          </cell>
          <cell r="D24" t="str">
            <v>REVANSHDDHA SHIVAPPA ISHWARKATTI</v>
          </cell>
          <cell r="E24" t="str">
            <v xml:space="preserve">FINAL 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2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B24">
            <v>1</v>
          </cell>
          <cell r="AH24">
            <v>1</v>
          </cell>
          <cell r="AI24">
            <v>1</v>
          </cell>
          <cell r="AJ24">
            <v>26</v>
          </cell>
          <cell r="AK24" t="str">
            <v>Mr. REVANASIDDH SHIVAPPA ISHWARKATTI</v>
          </cell>
          <cell r="AL24">
            <v>138.47999999999999</v>
          </cell>
          <cell r="AM24">
            <v>138.47999999999999</v>
          </cell>
          <cell r="AN24" t="str">
            <v>Mr. REVANASIDDH SHIVAPPA ISHWARKATTI</v>
          </cell>
          <cell r="AO24" t="b">
            <v>1</v>
          </cell>
          <cell r="AP24" t="str">
            <v>FOU23</v>
          </cell>
        </row>
        <row r="25">
          <cell r="C25">
            <v>102052667942</v>
          </cell>
          <cell r="D25" t="str">
            <v>DIPAK DATTRAY KUMBHAR</v>
          </cell>
          <cell r="E25" t="str">
            <v xml:space="preserve">FINAL </v>
          </cell>
          <cell r="G25">
            <v>1</v>
          </cell>
          <cell r="I25">
            <v>1</v>
          </cell>
          <cell r="J25">
            <v>1</v>
          </cell>
          <cell r="K25">
            <v>1</v>
          </cell>
          <cell r="L25">
            <v>2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2</v>
          </cell>
          <cell r="AG25">
            <v>1</v>
          </cell>
          <cell r="AI25">
            <v>1</v>
          </cell>
          <cell r="AJ25">
            <v>25</v>
          </cell>
          <cell r="AK25" t="str">
            <v>Mr. DIPAK DATTATRAY KUMBHAR</v>
          </cell>
          <cell r="AL25">
            <v>190.14000000000004</v>
          </cell>
          <cell r="AM25">
            <v>190.14000000000004</v>
          </cell>
          <cell r="AN25" t="str">
            <v>Mr. DIPAK DATTATRAY KUMBHAR</v>
          </cell>
          <cell r="AO25" t="b">
            <v>1</v>
          </cell>
          <cell r="AP25" t="str">
            <v>FOU97</v>
          </cell>
        </row>
        <row r="26">
          <cell r="C26">
            <v>101826609019</v>
          </cell>
          <cell r="D26" t="str">
            <v>GIRISH SIDDHRAM MADYAL</v>
          </cell>
          <cell r="E26" t="str">
            <v xml:space="preserve">FINAL 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25</v>
          </cell>
          <cell r="AK26" t="str">
            <v>Mr. GIRISH SIDDHARAM MADYAL</v>
          </cell>
          <cell r="AL26">
            <v>536.04999999999995</v>
          </cell>
          <cell r="AM26">
            <v>536.04999999999995</v>
          </cell>
          <cell r="AN26" t="str">
            <v>Mr. GIRISH SIDDHARAM MADYAL</v>
          </cell>
          <cell r="AO26" t="b">
            <v>1</v>
          </cell>
          <cell r="AP26" t="str">
            <v>FOU42</v>
          </cell>
        </row>
        <row r="27">
          <cell r="C27">
            <v>101944505682</v>
          </cell>
          <cell r="D27" t="str">
            <v>VIJAY BHARALE</v>
          </cell>
          <cell r="E27" t="str">
            <v xml:space="preserve">FINAL </v>
          </cell>
          <cell r="I27">
            <v>1</v>
          </cell>
          <cell r="J27">
            <v>1</v>
          </cell>
          <cell r="L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I27">
            <v>1</v>
          </cell>
          <cell r="AJ27">
            <v>20</v>
          </cell>
          <cell r="AK27" t="str">
            <v>Mr. VIJAY BHARLE</v>
          </cell>
          <cell r="AL27">
            <v>234.57000000000008</v>
          </cell>
          <cell r="AM27">
            <v>234.57000000000008</v>
          </cell>
          <cell r="AN27" t="str">
            <v>Mr. VIJAY BHARLE</v>
          </cell>
          <cell r="AO27" t="b">
            <v>1</v>
          </cell>
          <cell r="AP27" t="str">
            <v>FOU82</v>
          </cell>
        </row>
        <row r="28">
          <cell r="C28">
            <v>101603294918</v>
          </cell>
          <cell r="D28" t="str">
            <v>JITENDRA SIDRAM KOLI</v>
          </cell>
          <cell r="E28" t="str">
            <v xml:space="preserve">FINAL 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0.5</v>
          </cell>
          <cell r="AB28">
            <v>1</v>
          </cell>
          <cell r="AC28">
            <v>1</v>
          </cell>
          <cell r="AD28">
            <v>1</v>
          </cell>
          <cell r="AE28">
            <v>2</v>
          </cell>
          <cell r="AG28">
            <v>1</v>
          </cell>
          <cell r="AH28">
            <v>1</v>
          </cell>
          <cell r="AI28">
            <v>1</v>
          </cell>
          <cell r="AJ28">
            <v>24.5</v>
          </cell>
          <cell r="AK28" t="str">
            <v>Mr. JITENDRA SIDRAM KOLI</v>
          </cell>
          <cell r="AL28">
            <v>417.54000000000008</v>
          </cell>
          <cell r="AM28">
            <v>417.54000000000008</v>
          </cell>
          <cell r="AN28" t="str">
            <v>Mr. JITENDRA SIDRAM KOLI</v>
          </cell>
          <cell r="AO28" t="b">
            <v>1</v>
          </cell>
          <cell r="AP28" t="str">
            <v>FOU43</v>
          </cell>
        </row>
        <row r="29">
          <cell r="C29">
            <v>101818174092</v>
          </cell>
          <cell r="D29" t="str">
            <v>KASHINATH JAGANATH BIRAJDAR</v>
          </cell>
          <cell r="E29" t="str">
            <v xml:space="preserve">FINAL 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U29">
            <v>1</v>
          </cell>
          <cell r="V29">
            <v>1</v>
          </cell>
          <cell r="W29">
            <v>1</v>
          </cell>
          <cell r="Y29">
            <v>1</v>
          </cell>
          <cell r="Z29">
            <v>1</v>
          </cell>
          <cell r="AB29">
            <v>1</v>
          </cell>
          <cell r="AC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24</v>
          </cell>
          <cell r="AK29" t="str">
            <v>Mr. KASHINATH JAGANATH BIRJADAR</v>
          </cell>
          <cell r="AL29">
            <v>203.28000000000006</v>
          </cell>
          <cell r="AM29">
            <v>203.28000000000006</v>
          </cell>
          <cell r="AN29" t="str">
            <v>Mr. KASHINATH JAGANATH BIRJADAR</v>
          </cell>
          <cell r="AO29" t="b">
            <v>1</v>
          </cell>
          <cell r="AP29" t="str">
            <v>FOU40</v>
          </cell>
        </row>
        <row r="30">
          <cell r="C30">
            <v>102120964651</v>
          </cell>
          <cell r="D30" t="str">
            <v>KHAWAJASAHAB GULAB HIMONE</v>
          </cell>
          <cell r="E30" t="str">
            <v xml:space="preserve">FINAL 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J30">
            <v>26</v>
          </cell>
          <cell r="AK30" t="str">
            <v>Mr. KHAJASAHEB GULAB HIMONE</v>
          </cell>
          <cell r="AL30">
            <v>225.70000000000007</v>
          </cell>
          <cell r="AM30">
            <v>225.70000000000007</v>
          </cell>
          <cell r="AN30" t="str">
            <v>Mr. KHAJASAHEB GULAB HIMONE</v>
          </cell>
          <cell r="AO30" t="b">
            <v>1</v>
          </cell>
          <cell r="AP30" t="str">
            <v>FOU294</v>
          </cell>
        </row>
        <row r="31">
          <cell r="C31">
            <v>102004077854</v>
          </cell>
          <cell r="D31" t="str">
            <v>BHIMASHANKAR SHARANAPPA ISHWARKATTI</v>
          </cell>
          <cell r="E31" t="str">
            <v xml:space="preserve">FINAL 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2</v>
          </cell>
          <cell r="AI31">
            <v>1</v>
          </cell>
          <cell r="AJ31">
            <v>27</v>
          </cell>
          <cell r="AK31" t="str">
            <v>Mr. BHIMAHSNKAR SHARNAPPA ISHWARKATTI</v>
          </cell>
          <cell r="AL31">
            <v>182.83</v>
          </cell>
          <cell r="AM31">
            <v>182.83</v>
          </cell>
          <cell r="AN31" t="str">
            <v>Mr. BHIMAHSNKAR SHARNAPPA ISHWARKATTI</v>
          </cell>
          <cell r="AO31" t="b">
            <v>1</v>
          </cell>
          <cell r="AP31" t="str">
            <v>FOU73</v>
          </cell>
        </row>
        <row r="32">
          <cell r="C32">
            <v>101432431093</v>
          </cell>
          <cell r="D32" t="str">
            <v>VISHAL SURESH MANE</v>
          </cell>
          <cell r="E32" t="str">
            <v xml:space="preserve">FINAL 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24</v>
          </cell>
          <cell r="AK32" t="str">
            <v>Mr. VISHAL SURESH MANE</v>
          </cell>
          <cell r="AL32">
            <v>498.91999999999985</v>
          </cell>
          <cell r="AM32">
            <v>498.91999999999985</v>
          </cell>
          <cell r="AN32" t="str">
            <v>Mr. VISHAL SURESH MANE</v>
          </cell>
          <cell r="AO32" t="b">
            <v>1</v>
          </cell>
          <cell r="AP32" t="str">
            <v>FOU218</v>
          </cell>
        </row>
        <row r="33">
          <cell r="C33">
            <v>101817173110</v>
          </cell>
          <cell r="D33" t="str">
            <v>SHIVANAND KANTAPPA KOSHTI</v>
          </cell>
          <cell r="E33" t="str">
            <v xml:space="preserve">FINAL 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N33">
            <v>1</v>
          </cell>
          <cell r="O33">
            <v>1</v>
          </cell>
          <cell r="P33">
            <v>1</v>
          </cell>
          <cell r="Q33">
            <v>0.5</v>
          </cell>
          <cell r="R33">
            <v>1</v>
          </cell>
          <cell r="S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Z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23.5</v>
          </cell>
          <cell r="AK33" t="str">
            <v>Mr. SHIVANAND KANTAPPA KOSHTI</v>
          </cell>
          <cell r="AL33">
            <v>400.66000000000008</v>
          </cell>
          <cell r="AM33">
            <v>400.66000000000008</v>
          </cell>
          <cell r="AN33" t="str">
            <v>Mr. SHIVANAND KANTAPPA KOSHTI</v>
          </cell>
          <cell r="AO33" t="b">
            <v>1</v>
          </cell>
          <cell r="AP33" t="str">
            <v>FOU86</v>
          </cell>
        </row>
        <row r="34">
          <cell r="C34" t="str">
            <v>DHANNAJAY  AMBURE</v>
          </cell>
          <cell r="D34" t="str">
            <v>DHANNAJAY  AMBURE</v>
          </cell>
          <cell r="E34" t="str">
            <v xml:space="preserve">FINAL </v>
          </cell>
          <cell r="G34">
            <v>1</v>
          </cell>
          <cell r="H34">
            <v>1</v>
          </cell>
          <cell r="I34">
            <v>1</v>
          </cell>
          <cell r="J34">
            <v>0.5</v>
          </cell>
          <cell r="N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U34">
            <v>0.5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B34">
            <v>1</v>
          </cell>
          <cell r="AD34">
            <v>1</v>
          </cell>
          <cell r="AJ34">
            <v>16</v>
          </cell>
          <cell r="AK34" t="e">
            <v>#N/A</v>
          </cell>
          <cell r="AL34" t="e">
            <v>#N/A</v>
          </cell>
          <cell r="AN34" t="str">
            <v>DHANNAJAY  AMBURE</v>
          </cell>
          <cell r="AO34" t="e">
            <v>#N/A</v>
          </cell>
          <cell r="AP34">
            <v>0</v>
          </cell>
        </row>
        <row r="35">
          <cell r="C35">
            <v>101410043453</v>
          </cell>
          <cell r="D35" t="str">
            <v>CHITTAMANI SHAMRAO KADERKAR</v>
          </cell>
          <cell r="E35" t="str">
            <v xml:space="preserve">FINAL 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N35">
            <v>1</v>
          </cell>
          <cell r="O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B35">
            <v>1</v>
          </cell>
          <cell r="AC35">
            <v>1</v>
          </cell>
          <cell r="AJ35">
            <v>14</v>
          </cell>
          <cell r="AK35" t="str">
            <v>Mr. KADERKAR CHINTAMANI SHAMRAO</v>
          </cell>
          <cell r="AL35" t="e">
            <v>#N/A</v>
          </cell>
          <cell r="AN35" t="str">
            <v>Mr. KADERKAR CHINTAMANI SHAMRAO</v>
          </cell>
          <cell r="AO35" t="b">
            <v>1</v>
          </cell>
          <cell r="AP35" t="str">
            <v>FOU44</v>
          </cell>
        </row>
        <row r="36">
          <cell r="C36">
            <v>101407413648</v>
          </cell>
          <cell r="D36" t="str">
            <v>NAMDEV  BANDGAR</v>
          </cell>
          <cell r="E36" t="str">
            <v xml:space="preserve">HE </v>
          </cell>
          <cell r="J36">
            <v>1</v>
          </cell>
          <cell r="K36">
            <v>1</v>
          </cell>
          <cell r="L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V36">
            <v>1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2</v>
          </cell>
          <cell r="AF36">
            <v>1</v>
          </cell>
          <cell r="AI36">
            <v>1</v>
          </cell>
          <cell r="AJ36">
            <v>23</v>
          </cell>
          <cell r="AK36" t="str">
            <v>Mr. NAMDEV DURGAPPA BANDGAR</v>
          </cell>
          <cell r="AL36">
            <v>494.82999999999993</v>
          </cell>
          <cell r="AM36">
            <v>494.82999999999993</v>
          </cell>
          <cell r="AN36" t="str">
            <v>Mr. NAMDEV DURGAPPA BANDGAR</v>
          </cell>
          <cell r="AO36" t="b">
            <v>1</v>
          </cell>
          <cell r="AP36" t="str">
            <v>FOU19</v>
          </cell>
        </row>
        <row r="37">
          <cell r="C37">
            <v>101391642731</v>
          </cell>
          <cell r="D37" t="str">
            <v>DATTATRAY ASHOK WAGHMODE</v>
          </cell>
          <cell r="E37" t="str">
            <v xml:space="preserve">HE 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V37">
            <v>1</v>
          </cell>
          <cell r="W37">
            <v>1</v>
          </cell>
          <cell r="X37">
            <v>1</v>
          </cell>
          <cell r="Y37">
            <v>1</v>
          </cell>
          <cell r="Z37">
            <v>0.5</v>
          </cell>
          <cell r="AA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24.5</v>
          </cell>
          <cell r="AK37" t="str">
            <v>Mr. WAGHMODE DATTATRAY ASHOK</v>
          </cell>
          <cell r="AL37">
            <v>337.40999999999985</v>
          </cell>
          <cell r="AM37">
            <v>337.40999999999985</v>
          </cell>
          <cell r="AN37" t="str">
            <v>Mr. WAGHMODE DATTATRAY ASHOK</v>
          </cell>
          <cell r="AO37" t="b">
            <v>1</v>
          </cell>
          <cell r="AP37" t="str">
            <v>FOU20</v>
          </cell>
        </row>
        <row r="38">
          <cell r="C38">
            <v>101373078654</v>
          </cell>
          <cell r="D38" t="str">
            <v>KHALID ILAHI SHIAKH</v>
          </cell>
          <cell r="E38" t="str">
            <v xml:space="preserve">HE 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U38">
            <v>1</v>
          </cell>
          <cell r="V38">
            <v>1</v>
          </cell>
          <cell r="W38">
            <v>1</v>
          </cell>
          <cell r="Y38">
            <v>1</v>
          </cell>
          <cell r="Z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25</v>
          </cell>
          <cell r="AK38" t="str">
            <v>Mr. KHALID ILAI SHAIKH</v>
          </cell>
          <cell r="AL38">
            <v>63.93</v>
          </cell>
          <cell r="AM38">
            <v>63.93</v>
          </cell>
          <cell r="AN38" t="str">
            <v>Mr. KHALID ILAI SHAIKH</v>
          </cell>
          <cell r="AO38" t="b">
            <v>1</v>
          </cell>
          <cell r="AP38" t="str">
            <v>FOU27</v>
          </cell>
        </row>
        <row r="39">
          <cell r="C39">
            <v>101747190938</v>
          </cell>
          <cell r="D39" t="str">
            <v>AKASH  JAGNNATH TENAGLE</v>
          </cell>
          <cell r="E39" t="str">
            <v xml:space="preserve">HE </v>
          </cell>
          <cell r="G39">
            <v>1</v>
          </cell>
          <cell r="H39">
            <v>0.5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N39">
            <v>1</v>
          </cell>
          <cell r="O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J39">
            <v>11.5</v>
          </cell>
          <cell r="AK39" t="str">
            <v>Mr. AKASH JAGNNATH TENGALE</v>
          </cell>
          <cell r="AL39">
            <v>286.28000000000003</v>
          </cell>
          <cell r="AM39">
            <v>286.28000000000003</v>
          </cell>
          <cell r="AN39" t="str">
            <v>Mr. AKASH JAGNNATH TENGALE</v>
          </cell>
          <cell r="AO39" t="b">
            <v>1</v>
          </cell>
          <cell r="AP39" t="str">
            <v>FOU32</v>
          </cell>
        </row>
        <row r="40">
          <cell r="C40">
            <v>101520450548</v>
          </cell>
          <cell r="D40" t="str">
            <v>KASHINATH  ABHIMANU PATIL</v>
          </cell>
          <cell r="E40" t="str">
            <v xml:space="preserve">HE 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27</v>
          </cell>
          <cell r="AK40" t="str">
            <v>Mr. KASHINATH ABHIMANYU PATIL</v>
          </cell>
          <cell r="AL40">
            <v>214.77000000000004</v>
          </cell>
          <cell r="AM40">
            <v>214.77000000000004</v>
          </cell>
          <cell r="AN40" t="str">
            <v>Mr. KASHINATH ABHIMANYU PATIL</v>
          </cell>
          <cell r="AO40" t="b">
            <v>1</v>
          </cell>
          <cell r="AP40" t="str">
            <v>FOU51</v>
          </cell>
        </row>
        <row r="41">
          <cell r="C41">
            <v>101475170616</v>
          </cell>
          <cell r="D41" t="str">
            <v xml:space="preserve">SATISH SHIVAJI SHINDE </v>
          </cell>
          <cell r="E41" t="str">
            <v xml:space="preserve">HE 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26</v>
          </cell>
          <cell r="AK41" t="str">
            <v>Mr. SATISH SHIVAJI SHINDE</v>
          </cell>
          <cell r="AL41">
            <v>570.29999999999984</v>
          </cell>
          <cell r="AM41">
            <v>570.29999999999984</v>
          </cell>
          <cell r="AN41" t="str">
            <v>Mr. SATISH SHIVAJI SHINDE</v>
          </cell>
          <cell r="AO41" t="b">
            <v>1</v>
          </cell>
          <cell r="AP41" t="str">
            <v>FOU22</v>
          </cell>
        </row>
        <row r="42">
          <cell r="C42">
            <v>101154454730</v>
          </cell>
          <cell r="D42" t="str">
            <v>SAGAR GHERSANGI</v>
          </cell>
          <cell r="E42" t="str">
            <v xml:space="preserve">HE </v>
          </cell>
          <cell r="G42">
            <v>1</v>
          </cell>
          <cell r="H42">
            <v>1</v>
          </cell>
          <cell r="I42">
            <v>0.5</v>
          </cell>
          <cell r="J42">
            <v>1</v>
          </cell>
          <cell r="Y42">
            <v>1</v>
          </cell>
          <cell r="AD42">
            <v>1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J42">
            <v>10.5</v>
          </cell>
          <cell r="AK42" t="str">
            <v>Mr. SAGAR RAMESH GHARSANGI</v>
          </cell>
          <cell r="AL42">
            <v>69.59</v>
          </cell>
          <cell r="AM42">
            <v>69.59</v>
          </cell>
          <cell r="AN42" t="str">
            <v>Mr. SAGAR RAMESH GHARSANGI</v>
          </cell>
          <cell r="AO42" t="b">
            <v>1</v>
          </cell>
          <cell r="AP42" t="str">
            <v>FOU35</v>
          </cell>
        </row>
        <row r="43">
          <cell r="C43" t="str">
            <v>AJAY SHRINIVAS PENTA</v>
          </cell>
          <cell r="D43" t="str">
            <v>AJAY SHRINIVAS PENTA</v>
          </cell>
          <cell r="E43" t="str">
            <v xml:space="preserve">HE </v>
          </cell>
          <cell r="G43">
            <v>1</v>
          </cell>
          <cell r="H43">
            <v>1</v>
          </cell>
          <cell r="J43">
            <v>1</v>
          </cell>
          <cell r="K43">
            <v>1</v>
          </cell>
          <cell r="L43">
            <v>1</v>
          </cell>
          <cell r="S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20</v>
          </cell>
          <cell r="AK43" t="e">
            <v>#N/A</v>
          </cell>
          <cell r="AL43">
            <v>406.88000000000011</v>
          </cell>
          <cell r="AM43">
            <v>406.88000000000011</v>
          </cell>
          <cell r="AN43" t="str">
            <v>AJAY SHRINIVAS PENTA</v>
          </cell>
          <cell r="AO43" t="e">
            <v>#N/A</v>
          </cell>
          <cell r="AP43" t="str">
            <v>FOU791</v>
          </cell>
        </row>
        <row r="44">
          <cell r="C44">
            <v>102209140373</v>
          </cell>
          <cell r="D44" t="str">
            <v>HARUN MULLA</v>
          </cell>
          <cell r="E44" t="str">
            <v xml:space="preserve">HE </v>
          </cell>
          <cell r="G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24</v>
          </cell>
          <cell r="AK44" t="str">
            <v>Mr. HARUN BASHA MULLA</v>
          </cell>
          <cell r="AL44">
            <v>414.58000000000004</v>
          </cell>
          <cell r="AM44">
            <v>414.58000000000004</v>
          </cell>
          <cell r="AN44" t="str">
            <v>Mr. HARUN BASHA MULLA</v>
          </cell>
          <cell r="AO44" t="b">
            <v>1</v>
          </cell>
          <cell r="AP44" t="str">
            <v>FOU555</v>
          </cell>
        </row>
        <row r="45">
          <cell r="C45">
            <v>101591620448</v>
          </cell>
          <cell r="D45" t="str">
            <v>RAJSHEKHAR ANDODGI</v>
          </cell>
          <cell r="E45" t="str">
            <v xml:space="preserve">HE </v>
          </cell>
          <cell r="G45">
            <v>1</v>
          </cell>
          <cell r="H45">
            <v>1</v>
          </cell>
          <cell r="I45">
            <v>1</v>
          </cell>
          <cell r="K45">
            <v>1</v>
          </cell>
          <cell r="L45">
            <v>2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V45">
            <v>1</v>
          </cell>
          <cell r="Z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22</v>
          </cell>
          <cell r="AK45" t="str">
            <v>Mr. RAJSHEKHAR ANDODGI</v>
          </cell>
          <cell r="AL45" t="e">
            <v>#N/A</v>
          </cell>
          <cell r="AN45" t="str">
            <v>Mr. RAJSHEKHAR ANDODGI</v>
          </cell>
          <cell r="AO45" t="b">
            <v>1</v>
          </cell>
          <cell r="AP45">
            <v>0</v>
          </cell>
        </row>
        <row r="46">
          <cell r="C46">
            <v>101509952020</v>
          </cell>
          <cell r="D46" t="str">
            <v>AMOL TEJU RATHOD</v>
          </cell>
          <cell r="E46" t="str">
            <v xml:space="preserve">HE 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2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W46">
            <v>1</v>
          </cell>
          <cell r="X46">
            <v>1</v>
          </cell>
          <cell r="Y46">
            <v>2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23</v>
          </cell>
          <cell r="AK46" t="str">
            <v>Mr. AMOL TEJU RATHOD</v>
          </cell>
          <cell r="AL46" t="e">
            <v>#N/A</v>
          </cell>
          <cell r="AN46" t="str">
            <v>Mr. AMOL TEJU RATHOD</v>
          </cell>
          <cell r="AO46" t="b">
            <v>1</v>
          </cell>
          <cell r="AP46">
            <v>0</v>
          </cell>
        </row>
        <row r="47">
          <cell r="C47">
            <v>102078951370</v>
          </cell>
          <cell r="D47" t="str">
            <v xml:space="preserve">ABHISHEK SUNIL RATHOD </v>
          </cell>
          <cell r="E47" t="str">
            <v xml:space="preserve">HE 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U47">
            <v>1</v>
          </cell>
          <cell r="V47">
            <v>1</v>
          </cell>
          <cell r="X47">
            <v>1</v>
          </cell>
          <cell r="Y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0.5</v>
          </cell>
          <cell r="AJ47">
            <v>16.5</v>
          </cell>
          <cell r="AK47" t="str">
            <v>Mr. ABHISHEK SUNIL RATHOD</v>
          </cell>
          <cell r="AL47">
            <v>73.33</v>
          </cell>
          <cell r="AM47">
            <v>73.33</v>
          </cell>
          <cell r="AN47" t="str">
            <v>Mr. ABHISHEK SUNIL RATHOD</v>
          </cell>
          <cell r="AO47" t="b">
            <v>1</v>
          </cell>
          <cell r="AP47" t="str">
            <v>FOU224</v>
          </cell>
        </row>
        <row r="48">
          <cell r="C48">
            <v>101424676055</v>
          </cell>
          <cell r="D48" t="str">
            <v>ROHAN BABURAO PANDIT</v>
          </cell>
          <cell r="E48" t="str">
            <v xml:space="preserve">HE 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N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B48">
            <v>0.5</v>
          </cell>
          <cell r="AC48">
            <v>1</v>
          </cell>
          <cell r="AD48">
            <v>1</v>
          </cell>
          <cell r="AE48">
            <v>1</v>
          </cell>
          <cell r="AI48">
            <v>1</v>
          </cell>
          <cell r="AJ48">
            <v>21.5</v>
          </cell>
          <cell r="AK48" t="str">
            <v>Mr. ROHAN BABURAV PANDIT</v>
          </cell>
          <cell r="AL48">
            <v>35.729999999999997</v>
          </cell>
          <cell r="AM48">
            <v>35.729999999999997</v>
          </cell>
          <cell r="AN48" t="str">
            <v>Mr. ROHAN BABURAV PANDIT</v>
          </cell>
          <cell r="AO48" t="b">
            <v>1</v>
          </cell>
          <cell r="AP48" t="str">
            <v>FOU53</v>
          </cell>
        </row>
        <row r="49">
          <cell r="C49">
            <v>101591620411</v>
          </cell>
          <cell r="D49" t="str">
            <v>SAGAR MALIKARI KOLI</v>
          </cell>
          <cell r="E49" t="str">
            <v xml:space="preserve">HE </v>
          </cell>
          <cell r="AJ49">
            <v>0</v>
          </cell>
          <cell r="AK49" t="str">
            <v>Mr. SAGAR MALAKARI KOLI</v>
          </cell>
          <cell r="AL49" t="e">
            <v>#N/A</v>
          </cell>
          <cell r="AN49" t="str">
            <v>Mr. SAGAR MALAKARI KOLI</v>
          </cell>
          <cell r="AO49" t="b">
            <v>1</v>
          </cell>
          <cell r="AP49" t="str">
            <v>FOU535</v>
          </cell>
        </row>
        <row r="50">
          <cell r="C50">
            <v>101732689727</v>
          </cell>
          <cell r="D50" t="str">
            <v>MOIN GULAB MULLA</v>
          </cell>
          <cell r="E50" t="str">
            <v xml:space="preserve">HE </v>
          </cell>
          <cell r="AJ50">
            <v>0</v>
          </cell>
          <cell r="AK50" t="str">
            <v>Mr. MOIN GULAB MULLA</v>
          </cell>
          <cell r="AL50" t="e">
            <v>#N/A</v>
          </cell>
          <cell r="AN50" t="str">
            <v>Mr. MOIN GULAB MULLA</v>
          </cell>
          <cell r="AO50" t="b">
            <v>1</v>
          </cell>
          <cell r="AP50" t="str">
            <v>FOU94</v>
          </cell>
        </row>
        <row r="51">
          <cell r="C51">
            <v>101522138160</v>
          </cell>
          <cell r="D51" t="str">
            <v>MALLINATH SHIVRAM VHANKADE</v>
          </cell>
          <cell r="E51" t="str">
            <v xml:space="preserve">HE </v>
          </cell>
          <cell r="K51">
            <v>1</v>
          </cell>
          <cell r="L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B51">
            <v>1</v>
          </cell>
          <cell r="AC51">
            <v>1</v>
          </cell>
          <cell r="AH51">
            <v>1</v>
          </cell>
          <cell r="AI51">
            <v>1</v>
          </cell>
          <cell r="AJ51">
            <v>18</v>
          </cell>
          <cell r="AK51" t="str">
            <v>Mr. MALLINATH SHIVARAM VHANAKADE</v>
          </cell>
          <cell r="AL51">
            <v>74.72</v>
          </cell>
          <cell r="AM51">
            <v>74.72</v>
          </cell>
          <cell r="AN51" t="str">
            <v>Mr. MALLINATH SHIVARAM VHANAKADE</v>
          </cell>
          <cell r="AO51" t="b">
            <v>1</v>
          </cell>
          <cell r="AP51" t="str">
            <v>FOU31</v>
          </cell>
        </row>
        <row r="52">
          <cell r="C52">
            <v>101835374035</v>
          </cell>
          <cell r="D52" t="str">
            <v>ANKUSH SANJAY BHALE</v>
          </cell>
          <cell r="E52" t="str">
            <v xml:space="preserve">HE 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2</v>
          </cell>
          <cell r="N52">
            <v>1</v>
          </cell>
          <cell r="O52">
            <v>1</v>
          </cell>
          <cell r="P52">
            <v>1</v>
          </cell>
          <cell r="Q52">
            <v>0.5</v>
          </cell>
          <cell r="S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21.5</v>
          </cell>
          <cell r="AK52" t="str">
            <v>Mr. ANKUASH SANJAY BHALE</v>
          </cell>
          <cell r="AL52">
            <v>163.59000000000003</v>
          </cell>
          <cell r="AM52">
            <v>163.59000000000003</v>
          </cell>
          <cell r="AN52" t="str">
            <v>Mr. ANKUASH SANJAY BHALE</v>
          </cell>
          <cell r="AO52" t="b">
            <v>1</v>
          </cell>
          <cell r="AP52" t="str">
            <v>FOU70</v>
          </cell>
        </row>
        <row r="53">
          <cell r="C53">
            <v>102053057886</v>
          </cell>
          <cell r="D53" t="str">
            <v xml:space="preserve">DINESH VASANT SALGAR </v>
          </cell>
          <cell r="E53" t="str">
            <v xml:space="preserve">HE </v>
          </cell>
          <cell r="G53">
            <v>1</v>
          </cell>
          <cell r="H53">
            <v>1</v>
          </cell>
          <cell r="I53">
            <v>1</v>
          </cell>
          <cell r="J53">
            <v>0.5</v>
          </cell>
          <cell r="K53">
            <v>1</v>
          </cell>
          <cell r="L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I53">
            <v>1</v>
          </cell>
          <cell r="AJ53">
            <v>26.5</v>
          </cell>
          <cell r="AK53" t="str">
            <v>Mr. DINESH VASANT SALGAR</v>
          </cell>
          <cell r="AL53" t="e">
            <v>#N/A</v>
          </cell>
          <cell r="AN53" t="str">
            <v>Mr. DINESH VASANT SALGAR</v>
          </cell>
          <cell r="AO53" t="b">
            <v>1</v>
          </cell>
          <cell r="AP53">
            <v>0</v>
          </cell>
        </row>
        <row r="54">
          <cell r="C54">
            <v>101241926666</v>
          </cell>
          <cell r="D54" t="str">
            <v>ANIL RAWAT</v>
          </cell>
          <cell r="E54" t="str">
            <v xml:space="preserve">HE </v>
          </cell>
          <cell r="H54">
            <v>1</v>
          </cell>
          <cell r="I54">
            <v>1</v>
          </cell>
          <cell r="J54">
            <v>1</v>
          </cell>
          <cell r="N54">
            <v>1</v>
          </cell>
          <cell r="O54">
            <v>1</v>
          </cell>
          <cell r="P54">
            <v>1</v>
          </cell>
          <cell r="R54">
            <v>1</v>
          </cell>
          <cell r="S54">
            <v>1</v>
          </cell>
          <cell r="T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1.5</v>
          </cell>
          <cell r="AA54">
            <v>1</v>
          </cell>
          <cell r="AC54">
            <v>1</v>
          </cell>
          <cell r="AD54">
            <v>1</v>
          </cell>
          <cell r="AE54">
            <v>1</v>
          </cell>
          <cell r="AF54">
            <v>1</v>
          </cell>
          <cell r="AG54">
            <v>1</v>
          </cell>
          <cell r="AJ54">
            <v>20.5</v>
          </cell>
          <cell r="AK54" t="str">
            <v>Mr. ANIL KUMAR RAWAT</v>
          </cell>
          <cell r="AL54">
            <v>355.70000000000005</v>
          </cell>
          <cell r="AM54">
            <v>355.70000000000005</v>
          </cell>
          <cell r="AN54" t="str">
            <v>Mr. ANIL KUMAR RAWAT</v>
          </cell>
          <cell r="AO54" t="b">
            <v>1</v>
          </cell>
          <cell r="AP54" t="str">
            <v>FOU741</v>
          </cell>
        </row>
        <row r="55">
          <cell r="C55">
            <v>102143026061</v>
          </cell>
          <cell r="D55" t="str">
            <v>BADIGER RAJKUMAR</v>
          </cell>
          <cell r="E55" t="str">
            <v xml:space="preserve">HE </v>
          </cell>
          <cell r="O55">
            <v>1</v>
          </cell>
          <cell r="P55">
            <v>1</v>
          </cell>
          <cell r="Q55">
            <v>1</v>
          </cell>
          <cell r="S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B55">
            <v>0.5</v>
          </cell>
          <cell r="AC55">
            <v>0.5</v>
          </cell>
          <cell r="AD55">
            <v>0.5</v>
          </cell>
          <cell r="AF55">
            <v>1</v>
          </cell>
          <cell r="AH55">
            <v>1</v>
          </cell>
          <cell r="AI55">
            <v>1</v>
          </cell>
          <cell r="AJ55">
            <v>14.5</v>
          </cell>
          <cell r="AK55" t="str">
            <v>Mr. RAJAKUMAR BADIGER</v>
          </cell>
          <cell r="AL55">
            <v>417.61999999999989</v>
          </cell>
          <cell r="AM55">
            <v>417.61999999999989</v>
          </cell>
          <cell r="AN55" t="str">
            <v>Mr. RAJAKUMAR BADIGER</v>
          </cell>
          <cell r="AO55" t="b">
            <v>1</v>
          </cell>
          <cell r="AP55" t="str">
            <v>FOU379</v>
          </cell>
        </row>
        <row r="56">
          <cell r="C56">
            <v>101807758862</v>
          </cell>
          <cell r="D56" t="str">
            <v>RAKESH ASHOK RAUT</v>
          </cell>
          <cell r="E56" t="str">
            <v xml:space="preserve">HE 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N56">
            <v>1</v>
          </cell>
          <cell r="O56">
            <v>1</v>
          </cell>
          <cell r="P56">
            <v>1</v>
          </cell>
          <cell r="R56">
            <v>1</v>
          </cell>
          <cell r="S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G56">
            <v>1</v>
          </cell>
          <cell r="AJ56">
            <v>22</v>
          </cell>
          <cell r="AK56" t="str">
            <v>Mr. RAKESH ASHOK RAUT</v>
          </cell>
          <cell r="AL56" t="e">
            <v>#N/A</v>
          </cell>
          <cell r="AN56" t="str">
            <v>Mr. RAKESH ASHOK RAUT</v>
          </cell>
          <cell r="AO56" t="b">
            <v>1</v>
          </cell>
          <cell r="AP56" t="str">
            <v>FOU743</v>
          </cell>
        </row>
        <row r="57">
          <cell r="C57">
            <v>102086533444</v>
          </cell>
          <cell r="D57" t="str">
            <v>KHATAL SANDIP CHANDRAKANT</v>
          </cell>
          <cell r="E57" t="str">
            <v xml:space="preserve">HE </v>
          </cell>
          <cell r="G57">
            <v>1</v>
          </cell>
          <cell r="H57">
            <v>1</v>
          </cell>
          <cell r="I57">
            <v>1</v>
          </cell>
          <cell r="J57">
            <v>1</v>
          </cell>
          <cell r="K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U57">
            <v>1</v>
          </cell>
          <cell r="W57">
            <v>1</v>
          </cell>
          <cell r="Y57">
            <v>1</v>
          </cell>
          <cell r="Z57">
            <v>1</v>
          </cell>
          <cell r="AC57">
            <v>1</v>
          </cell>
          <cell r="AD57">
            <v>1</v>
          </cell>
          <cell r="AE57">
            <v>1</v>
          </cell>
          <cell r="AH57">
            <v>1</v>
          </cell>
          <cell r="AI57">
            <v>1</v>
          </cell>
          <cell r="AJ57">
            <v>19</v>
          </cell>
          <cell r="AK57" t="str">
            <v>Mr. SANDIP CHANDRAKANT KHATAL</v>
          </cell>
          <cell r="AL57">
            <v>9.4</v>
          </cell>
          <cell r="AM57">
            <v>9.4</v>
          </cell>
          <cell r="AN57" t="str">
            <v>Mr. SANDIP CHANDRAKANT KHATAL</v>
          </cell>
          <cell r="AO57" t="b">
            <v>1</v>
          </cell>
          <cell r="AP57" t="str">
            <v>FOU208</v>
          </cell>
        </row>
        <row r="58">
          <cell r="C58">
            <v>102235752061</v>
          </cell>
          <cell r="D58" t="str">
            <v>SAISAMARTH VITTHAL ZAMPALE</v>
          </cell>
          <cell r="E58" t="str">
            <v xml:space="preserve">HE </v>
          </cell>
          <cell r="G58">
            <v>1</v>
          </cell>
          <cell r="H58">
            <v>1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O58">
            <v>1</v>
          </cell>
          <cell r="P58">
            <v>1</v>
          </cell>
          <cell r="Q58">
            <v>1</v>
          </cell>
          <cell r="S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B58">
            <v>1</v>
          </cell>
          <cell r="AC58">
            <v>1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J58">
            <v>24</v>
          </cell>
          <cell r="AK58" t="str">
            <v>Mr. SAISAMARTH VITTHAL ZAMPALE</v>
          </cell>
          <cell r="AL58">
            <v>9.4</v>
          </cell>
          <cell r="AM58">
            <v>9.4</v>
          </cell>
          <cell r="AN58" t="str">
            <v>Mr. SAISAMARTH VITTHAL ZAMPALE</v>
          </cell>
          <cell r="AO58" t="b">
            <v>1</v>
          </cell>
          <cell r="AP58" t="str">
            <v>FOU628</v>
          </cell>
        </row>
        <row r="59">
          <cell r="C59">
            <v>101084612898</v>
          </cell>
          <cell r="D59" t="str">
            <v>MANGESH NAVNATH ANKUSHRAO</v>
          </cell>
          <cell r="E59" t="str">
            <v xml:space="preserve">HE 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N59">
            <v>1</v>
          </cell>
          <cell r="O59">
            <v>1</v>
          </cell>
          <cell r="P59">
            <v>1</v>
          </cell>
          <cell r="R59">
            <v>1</v>
          </cell>
          <cell r="S59">
            <v>1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H59">
            <v>1</v>
          </cell>
          <cell r="AJ59">
            <v>21</v>
          </cell>
          <cell r="AK59" t="str">
            <v>Mr. MANGESH NAVNATH ANKUSHRAO</v>
          </cell>
          <cell r="AL59">
            <v>209.94000000000008</v>
          </cell>
          <cell r="AM59">
            <v>209.94000000000008</v>
          </cell>
          <cell r="AN59" t="str">
            <v>Mr. MANGESH NAVNATH ANKUSHRAO</v>
          </cell>
          <cell r="AO59" t="b">
            <v>1</v>
          </cell>
          <cell r="AP59" t="str">
            <v>FOU514</v>
          </cell>
        </row>
        <row r="60">
          <cell r="C60">
            <v>102190249257</v>
          </cell>
          <cell r="D60" t="str">
            <v>HIRKUR YUVRAJ MALAKARI</v>
          </cell>
          <cell r="E60" t="str">
            <v xml:space="preserve">HE </v>
          </cell>
          <cell r="G60">
            <v>1</v>
          </cell>
          <cell r="J60">
            <v>1</v>
          </cell>
          <cell r="K60">
            <v>1</v>
          </cell>
          <cell r="L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B60">
            <v>1</v>
          </cell>
          <cell r="AC60">
            <v>0.5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22.5</v>
          </cell>
          <cell r="AK60" t="str">
            <v>Mr. YUVRAJ MALAKARI HIRKURE</v>
          </cell>
          <cell r="AL60">
            <v>414.13999999999993</v>
          </cell>
          <cell r="AM60">
            <v>414.13999999999993</v>
          </cell>
          <cell r="AN60" t="str">
            <v>Mr. YUVRAJ MALAKARI HIRKURE</v>
          </cell>
          <cell r="AO60" t="b">
            <v>1</v>
          </cell>
          <cell r="AP60" t="str">
            <v>FOU459</v>
          </cell>
        </row>
        <row r="61">
          <cell r="C61">
            <v>101805790352</v>
          </cell>
          <cell r="D61" t="str">
            <v xml:space="preserve">PRABHAKAR NAIKWADE </v>
          </cell>
          <cell r="E61" t="str">
            <v xml:space="preserve">HE </v>
          </cell>
          <cell r="G61">
            <v>1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AB61">
            <v>1</v>
          </cell>
          <cell r="AC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23</v>
          </cell>
          <cell r="AK61" t="str">
            <v>Mr. PRABHAKAR BIRAPPA NAYKUDE</v>
          </cell>
          <cell r="AL61">
            <v>9.4</v>
          </cell>
          <cell r="AM61">
            <v>9.4</v>
          </cell>
          <cell r="AN61" t="str">
            <v>Mr. PRABHAKAR BIRAPPA NAYKUDE</v>
          </cell>
          <cell r="AO61" t="b">
            <v>1</v>
          </cell>
          <cell r="AP61" t="str">
            <v>FOU38</v>
          </cell>
        </row>
        <row r="62">
          <cell r="C62" t="str">
            <v>SANJAY GOPINATH BANDGAR</v>
          </cell>
          <cell r="D62" t="str">
            <v>SANJAY GOPINATH BANDGAR</v>
          </cell>
          <cell r="E62" t="str">
            <v xml:space="preserve">HE </v>
          </cell>
          <cell r="L62">
            <v>1</v>
          </cell>
          <cell r="N62">
            <v>1</v>
          </cell>
          <cell r="O62">
            <v>1</v>
          </cell>
          <cell r="R62">
            <v>1</v>
          </cell>
          <cell r="S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J62">
            <v>17</v>
          </cell>
          <cell r="AK62" t="e">
            <v>#N/A</v>
          </cell>
          <cell r="AL62">
            <v>282.10000000000002</v>
          </cell>
          <cell r="AM62">
            <v>282.10000000000002</v>
          </cell>
          <cell r="AN62" t="str">
            <v>SANJAY GOPINATH BANDGAR</v>
          </cell>
          <cell r="AO62" t="e">
            <v>#N/A</v>
          </cell>
          <cell r="AP62" t="str">
            <v>FOU827</v>
          </cell>
        </row>
        <row r="63">
          <cell r="C63" t="str">
            <v>ARJUN HIRACHAND BANDAGAR</v>
          </cell>
          <cell r="D63" t="str">
            <v>ARJUN HIRACHAND BANDAGAR</v>
          </cell>
          <cell r="E63" t="str">
            <v xml:space="preserve">HE </v>
          </cell>
          <cell r="K63">
            <v>1</v>
          </cell>
          <cell r="L63">
            <v>1</v>
          </cell>
          <cell r="N63">
            <v>1</v>
          </cell>
          <cell r="O63">
            <v>1</v>
          </cell>
          <cell r="P63">
            <v>1</v>
          </cell>
          <cell r="R63">
            <v>1</v>
          </cell>
          <cell r="S63">
            <v>1</v>
          </cell>
          <cell r="U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J63">
            <v>20</v>
          </cell>
          <cell r="AK63" t="e">
            <v>#N/A</v>
          </cell>
          <cell r="AL63">
            <v>244.50000000000009</v>
          </cell>
          <cell r="AM63">
            <v>244.50000000000009</v>
          </cell>
          <cell r="AN63" t="str">
            <v>ARJUN HIRACHAND BANDAGAR</v>
          </cell>
          <cell r="AO63" t="e">
            <v>#N/A</v>
          </cell>
          <cell r="AP63" t="str">
            <v>FOU828</v>
          </cell>
        </row>
        <row r="64">
          <cell r="C64" t="str">
            <v>WAGHMARE  SUNIL GANPAT</v>
          </cell>
          <cell r="D64" t="str">
            <v>WAGHMARE  SUNIL GANPAT</v>
          </cell>
          <cell r="E64" t="str">
            <v xml:space="preserve">HE </v>
          </cell>
          <cell r="Y64">
            <v>1</v>
          </cell>
          <cell r="AJ64">
            <v>1</v>
          </cell>
          <cell r="AK64" t="e">
            <v>#N/A</v>
          </cell>
          <cell r="AL64">
            <v>43.26</v>
          </cell>
          <cell r="AM64">
            <v>43</v>
          </cell>
          <cell r="AN64" t="str">
            <v>WAGHMARE  SUNIL GANPAT</v>
          </cell>
          <cell r="AO64" t="e">
            <v>#N/A</v>
          </cell>
          <cell r="AP64" t="str">
            <v>FOU881</v>
          </cell>
        </row>
        <row r="65">
          <cell r="C65">
            <v>101428896909</v>
          </cell>
          <cell r="D65" t="str">
            <v>KISHOR JYOTIBA MORE</v>
          </cell>
          <cell r="E65" t="str">
            <v xml:space="preserve">SHOT BLAST </v>
          </cell>
          <cell r="G65">
            <v>1</v>
          </cell>
          <cell r="H65">
            <v>1</v>
          </cell>
          <cell r="K65">
            <v>1</v>
          </cell>
          <cell r="L65">
            <v>1</v>
          </cell>
          <cell r="N65">
            <v>1</v>
          </cell>
          <cell r="O65">
            <v>1</v>
          </cell>
          <cell r="Q65">
            <v>1</v>
          </cell>
          <cell r="R65">
            <v>1</v>
          </cell>
          <cell r="S65">
            <v>1</v>
          </cell>
          <cell r="V65">
            <v>1</v>
          </cell>
          <cell r="X65">
            <v>2</v>
          </cell>
          <cell r="Y65">
            <v>1</v>
          </cell>
          <cell r="Z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I65">
            <v>1</v>
          </cell>
          <cell r="AJ65">
            <v>21</v>
          </cell>
          <cell r="AK65" t="str">
            <v>Mr. KISHOR JYOTIBA MORE</v>
          </cell>
          <cell r="AL65">
            <v>135.44000000000003</v>
          </cell>
          <cell r="AM65">
            <v>135.44000000000003</v>
          </cell>
          <cell r="AN65" t="str">
            <v>Mr. KISHOR JYOTIBA MORE</v>
          </cell>
          <cell r="AO65" t="b">
            <v>1</v>
          </cell>
          <cell r="AP65" t="str">
            <v>FOU58</v>
          </cell>
        </row>
        <row r="66">
          <cell r="C66">
            <v>101951607397</v>
          </cell>
          <cell r="D66" t="str">
            <v>LANDAGE SHAVARSIDHA KHANDAPPA</v>
          </cell>
          <cell r="E66" t="str">
            <v xml:space="preserve">SHOT BLAST 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U66">
            <v>1</v>
          </cell>
          <cell r="V66">
            <v>1</v>
          </cell>
          <cell r="W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21</v>
          </cell>
          <cell r="AK66" t="str">
            <v>Mr. SHAVRSIDDHA KHANDAPPA LANDAGE</v>
          </cell>
          <cell r="AL66">
            <v>443</v>
          </cell>
          <cell r="AM66">
            <v>443</v>
          </cell>
          <cell r="AN66" t="str">
            <v>Mr. SHAVRSIDDHA KHANDAPPA LANDAGE</v>
          </cell>
          <cell r="AO66" t="b">
            <v>1</v>
          </cell>
          <cell r="AP66" t="str">
            <v>FOU52</v>
          </cell>
        </row>
        <row r="67">
          <cell r="C67">
            <v>101976571122</v>
          </cell>
          <cell r="D67" t="str">
            <v>DNYANESHWAR  BHAGVANT WAGHMARE</v>
          </cell>
          <cell r="E67" t="str">
            <v xml:space="preserve">SHOT BLAST </v>
          </cell>
          <cell r="F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N67">
            <v>1</v>
          </cell>
          <cell r="O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W67">
            <v>1</v>
          </cell>
          <cell r="Y67">
            <v>1</v>
          </cell>
          <cell r="Z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I67">
            <v>1</v>
          </cell>
          <cell r="AJ67">
            <v>21</v>
          </cell>
          <cell r="AK67" t="str">
            <v>Mr. DNYANESHWAR BHAGAVANT WAGHAMARE</v>
          </cell>
          <cell r="AL67">
            <v>244.72000000000008</v>
          </cell>
          <cell r="AM67">
            <v>244.72000000000008</v>
          </cell>
          <cell r="AN67" t="str">
            <v>Mr. DNYANESHWAR BHAGAVANT WAGHAMARE</v>
          </cell>
          <cell r="AO67" t="b">
            <v>1</v>
          </cell>
          <cell r="AP67" t="str">
            <v>FOU72</v>
          </cell>
        </row>
        <row r="68">
          <cell r="C68">
            <v>101447270865</v>
          </cell>
          <cell r="D68" t="str">
            <v>ABHIJEET PIRAPPA  WAGHMARE</v>
          </cell>
          <cell r="E68" t="str">
            <v xml:space="preserve">SHOT BLAST 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K68">
            <v>1</v>
          </cell>
          <cell r="L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2</v>
          </cell>
          <cell r="AI68">
            <v>1</v>
          </cell>
          <cell r="AJ68">
            <v>26</v>
          </cell>
          <cell r="AK68" t="str">
            <v>Mr. ABHIJIT PIRAPPA WAGHMARE</v>
          </cell>
          <cell r="AL68">
            <v>439.20999999999992</v>
          </cell>
          <cell r="AM68">
            <v>439.20999999999992</v>
          </cell>
          <cell r="AN68" t="str">
            <v>Mr. ABHIJIT PIRAPPA WAGHMARE</v>
          </cell>
          <cell r="AO68" t="b">
            <v>1</v>
          </cell>
          <cell r="AP68" t="str">
            <v>FOU49</v>
          </cell>
        </row>
        <row r="69">
          <cell r="C69">
            <v>101931400073</v>
          </cell>
          <cell r="D69" t="str">
            <v>PATHAN SHAHNAVAJ MURTUJ</v>
          </cell>
          <cell r="E69" t="str">
            <v xml:space="preserve">SHOT BLAST </v>
          </cell>
          <cell r="G69">
            <v>1</v>
          </cell>
          <cell r="H69">
            <v>1</v>
          </cell>
          <cell r="I69">
            <v>1</v>
          </cell>
          <cell r="J69">
            <v>1</v>
          </cell>
          <cell r="K69">
            <v>1</v>
          </cell>
          <cell r="L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U69">
            <v>1</v>
          </cell>
          <cell r="V69">
            <v>1</v>
          </cell>
          <cell r="W69">
            <v>1</v>
          </cell>
          <cell r="Y69">
            <v>1</v>
          </cell>
          <cell r="Z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25</v>
          </cell>
          <cell r="AK69" t="str">
            <v>Mr. SHAHANVAJ MURTUJ PATHAN</v>
          </cell>
          <cell r="AL69">
            <v>451.4</v>
          </cell>
          <cell r="AM69">
            <v>451.4</v>
          </cell>
          <cell r="AN69" t="str">
            <v>Mr. SHAHANVAJ MURTUJ PATHAN</v>
          </cell>
          <cell r="AO69" t="b">
            <v>1</v>
          </cell>
          <cell r="AP69" t="str">
            <v>FOU113</v>
          </cell>
        </row>
        <row r="70">
          <cell r="C70">
            <v>101868848739</v>
          </cell>
          <cell r="D70" t="str">
            <v>BASVRAJ SOMNATH KARKALE</v>
          </cell>
          <cell r="E70" t="str">
            <v xml:space="preserve">SHOT BLAST 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26</v>
          </cell>
          <cell r="AK70" t="str">
            <v>Mr. BASAVRAJ SOMNATH KARKALE</v>
          </cell>
          <cell r="AL70">
            <v>436.34</v>
          </cell>
          <cell r="AM70">
            <v>436.34</v>
          </cell>
          <cell r="AN70" t="str">
            <v>Mr. BASAVRAJ SOMNATH KARKALE</v>
          </cell>
          <cell r="AO70" t="b">
            <v>1</v>
          </cell>
          <cell r="AP70" t="str">
            <v>FOU87</v>
          </cell>
        </row>
        <row r="71">
          <cell r="C71">
            <v>102125816854</v>
          </cell>
          <cell r="D71" t="str">
            <v xml:space="preserve">SUFIYAN FULARI </v>
          </cell>
          <cell r="E71" t="str">
            <v xml:space="preserve">SHOT BLAST </v>
          </cell>
          <cell r="F71">
            <v>1</v>
          </cell>
          <cell r="G71">
            <v>1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2</v>
          </cell>
          <cell r="T71">
            <v>1</v>
          </cell>
          <cell r="U71">
            <v>1</v>
          </cell>
          <cell r="V71">
            <v>1</v>
          </cell>
          <cell r="Y71">
            <v>1</v>
          </cell>
          <cell r="Z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0.5</v>
          </cell>
          <cell r="AH71">
            <v>1</v>
          </cell>
          <cell r="AI71">
            <v>1</v>
          </cell>
          <cell r="AJ71">
            <v>25.5</v>
          </cell>
          <cell r="AK71" t="str">
            <v>Mr. SUFIYAN SHEKULAL FULARI</v>
          </cell>
          <cell r="AL71">
            <v>35.730000000000004</v>
          </cell>
          <cell r="AM71">
            <v>35.730000000000004</v>
          </cell>
          <cell r="AN71" t="str">
            <v>Mr. SUFIYAN SHEKULAL FULARI</v>
          </cell>
          <cell r="AO71" t="b">
            <v>1</v>
          </cell>
          <cell r="AP71" t="str">
            <v>FOU314</v>
          </cell>
        </row>
        <row r="72">
          <cell r="C72">
            <v>101821692693</v>
          </cell>
          <cell r="D72" t="str">
            <v>SAGAR BASVRAJ ARJUN</v>
          </cell>
          <cell r="E72" t="str">
            <v xml:space="preserve">REWORK </v>
          </cell>
          <cell r="I72">
            <v>1</v>
          </cell>
          <cell r="J72">
            <v>1</v>
          </cell>
          <cell r="N72">
            <v>1</v>
          </cell>
          <cell r="O72">
            <v>1</v>
          </cell>
          <cell r="P72">
            <v>1</v>
          </cell>
          <cell r="S72">
            <v>1</v>
          </cell>
          <cell r="U72">
            <v>1</v>
          </cell>
          <cell r="V72">
            <v>1</v>
          </cell>
          <cell r="W72">
            <v>1</v>
          </cell>
          <cell r="Y72">
            <v>1</v>
          </cell>
          <cell r="AJ72">
            <v>10</v>
          </cell>
          <cell r="AK72" t="str">
            <v>Mr. SAGAR BASAVRAJ ARJUN</v>
          </cell>
          <cell r="AL72" t="e">
            <v>#N/A</v>
          </cell>
          <cell r="AN72" t="str">
            <v>Mr. SAGAR BASAVRAJ ARJUN</v>
          </cell>
          <cell r="AO72" t="b">
            <v>1</v>
          </cell>
          <cell r="AP72" t="str">
            <v>FOU39</v>
          </cell>
        </row>
        <row r="73">
          <cell r="C73">
            <v>100450352070</v>
          </cell>
          <cell r="D73" t="str">
            <v>GHANTE SACHIN BHAGWAN</v>
          </cell>
          <cell r="E73" t="str">
            <v xml:space="preserve">REWORK 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N73">
            <v>1</v>
          </cell>
          <cell r="O73">
            <v>1</v>
          </cell>
          <cell r="P73">
            <v>1</v>
          </cell>
          <cell r="Q73">
            <v>2</v>
          </cell>
          <cell r="R73">
            <v>1</v>
          </cell>
          <cell r="S73">
            <v>1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28</v>
          </cell>
          <cell r="AK73" t="str">
            <v>Mr. SACHIN BHAGWAN GHANTE</v>
          </cell>
          <cell r="AL73">
            <v>171.17000000000004</v>
          </cell>
          <cell r="AM73">
            <v>171.17000000000004</v>
          </cell>
          <cell r="AN73" t="str">
            <v>Mr. SACHIN BHAGWAN GHANTE</v>
          </cell>
          <cell r="AO73" t="b">
            <v>1</v>
          </cell>
          <cell r="AP73" t="str">
            <v>FOU67</v>
          </cell>
        </row>
        <row r="74">
          <cell r="C74">
            <v>101388345766</v>
          </cell>
          <cell r="D74" t="str">
            <v>CHOUGULE HRUSHIKESH CHANDRAKANT</v>
          </cell>
          <cell r="E74" t="str">
            <v xml:space="preserve">REWORK 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Q74">
            <v>1</v>
          </cell>
          <cell r="T74">
            <v>1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0.5</v>
          </cell>
          <cell r="AJ74">
            <v>22.5</v>
          </cell>
          <cell r="AK74" t="str">
            <v>Mr. RUSHIKESH CHANDRAKANT CHOUGULE</v>
          </cell>
          <cell r="AL74">
            <v>246.42000000000007</v>
          </cell>
          <cell r="AM74">
            <v>246.42000000000007</v>
          </cell>
          <cell r="AN74" t="str">
            <v>Mr. RUSHIKESH CHANDRAKANT CHOUGULE</v>
          </cell>
          <cell r="AO74" t="b">
            <v>1</v>
          </cell>
          <cell r="AP74" t="str">
            <v>FOU47</v>
          </cell>
        </row>
        <row r="75">
          <cell r="C75">
            <v>101902123648</v>
          </cell>
          <cell r="D75" t="str">
            <v>MUSTAK RASHID SHAIKH</v>
          </cell>
          <cell r="E75" t="str">
            <v xml:space="preserve">REWORK 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V75">
            <v>1</v>
          </cell>
          <cell r="W75">
            <v>1</v>
          </cell>
          <cell r="X75">
            <v>1</v>
          </cell>
          <cell r="Y75">
            <v>0.5</v>
          </cell>
          <cell r="Z75">
            <v>1</v>
          </cell>
          <cell r="AB75">
            <v>0.5</v>
          </cell>
          <cell r="AC75">
            <v>1</v>
          </cell>
          <cell r="AD75">
            <v>1</v>
          </cell>
          <cell r="AE75">
            <v>1</v>
          </cell>
          <cell r="AF75">
            <v>1</v>
          </cell>
          <cell r="AH75">
            <v>1</v>
          </cell>
          <cell r="AI75">
            <v>1</v>
          </cell>
          <cell r="AJ75">
            <v>22</v>
          </cell>
          <cell r="AK75" t="str">
            <v>Mr. MUSHTAK RASHID SHAIKH</v>
          </cell>
          <cell r="AL75">
            <v>393.13000000000005</v>
          </cell>
          <cell r="AM75">
            <v>393.13000000000005</v>
          </cell>
          <cell r="AN75" t="str">
            <v>Mr. MUSHTAK RASHID SHAIKH</v>
          </cell>
          <cell r="AO75" t="b">
            <v>1</v>
          </cell>
          <cell r="AP75" t="str">
            <v>FOU68</v>
          </cell>
        </row>
        <row r="76">
          <cell r="C76">
            <v>101909060608</v>
          </cell>
          <cell r="D76" t="str">
            <v>SOHEL  SAHEBLAL JAMADAR</v>
          </cell>
          <cell r="E76" t="str">
            <v xml:space="preserve">REWORK 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0.5</v>
          </cell>
          <cell r="AH76">
            <v>1</v>
          </cell>
          <cell r="AI76">
            <v>0.5</v>
          </cell>
          <cell r="AJ76">
            <v>22</v>
          </cell>
          <cell r="AK76" t="str">
            <v>Mr. SOHEL SAHEBLAL JAMADAR</v>
          </cell>
          <cell r="AL76">
            <v>287.81000000000006</v>
          </cell>
          <cell r="AM76">
            <v>287.81000000000006</v>
          </cell>
          <cell r="AN76" t="str">
            <v>Mr. SOHEL SAHEBLAL JAMADAR</v>
          </cell>
          <cell r="AO76" t="b">
            <v>1</v>
          </cell>
          <cell r="AP76" t="str">
            <v>FOU54</v>
          </cell>
        </row>
        <row r="77">
          <cell r="C77">
            <v>102025154331</v>
          </cell>
          <cell r="D77" t="str">
            <v>ARBAJ  AMIN JAMADAR</v>
          </cell>
          <cell r="E77" t="str">
            <v xml:space="preserve">REWORK 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U77">
            <v>1</v>
          </cell>
          <cell r="V77">
            <v>1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E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22</v>
          </cell>
          <cell r="AK77" t="str">
            <v>Mr. ARBAJ AMIN JAMADAR</v>
          </cell>
          <cell r="AL77">
            <v>378.07000000000005</v>
          </cell>
          <cell r="AM77">
            <v>378.07000000000005</v>
          </cell>
          <cell r="AN77" t="str">
            <v>Mr. ARBAJ AMIN JAMADAR</v>
          </cell>
          <cell r="AO77" t="b">
            <v>1</v>
          </cell>
          <cell r="AP77" t="str">
            <v>FOU81</v>
          </cell>
        </row>
        <row r="78">
          <cell r="C78">
            <v>102245251075</v>
          </cell>
          <cell r="D78" t="str">
            <v>HIREMATH MANIK GURULINGAYA</v>
          </cell>
          <cell r="E78" t="str">
            <v xml:space="preserve">REWORK </v>
          </cell>
          <cell r="G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N78">
            <v>1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25</v>
          </cell>
          <cell r="AK78" t="str">
            <v>Mr. MANIK GURULINGAYA HIREMATH</v>
          </cell>
          <cell r="AL78">
            <v>382.42</v>
          </cell>
          <cell r="AM78">
            <v>382.42</v>
          </cell>
          <cell r="AN78" t="str">
            <v>Mr. MANIK GURULINGAYA HIREMATH</v>
          </cell>
          <cell r="AO78" t="b">
            <v>1</v>
          </cell>
          <cell r="AP78" t="str">
            <v>FOU653</v>
          </cell>
        </row>
        <row r="79">
          <cell r="C79">
            <v>102081665259</v>
          </cell>
          <cell r="D79" t="str">
            <v>DOMBE SIDRAM</v>
          </cell>
          <cell r="E79" t="str">
            <v xml:space="preserve">REWORK 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U79">
            <v>1</v>
          </cell>
          <cell r="V79">
            <v>1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18</v>
          </cell>
          <cell r="AK79" t="str">
            <v>Mr. SIDDHRAM MAHANINGAPPA DOMBE</v>
          </cell>
          <cell r="AL79">
            <v>324.54000000000002</v>
          </cell>
          <cell r="AM79">
            <v>324.54000000000002</v>
          </cell>
          <cell r="AN79" t="str">
            <v>Mr. SIDDHRAM MAHANINGAPPA DOMBE</v>
          </cell>
          <cell r="AO79" t="b">
            <v>1</v>
          </cell>
          <cell r="AP79" t="str">
            <v>FOU222</v>
          </cell>
        </row>
        <row r="80">
          <cell r="C80">
            <v>101235372414</v>
          </cell>
          <cell r="D80" t="str">
            <v>VISHAL MOHAN MANE</v>
          </cell>
          <cell r="E80" t="str">
            <v xml:space="preserve">REWORK 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>
            <v>1</v>
          </cell>
          <cell r="K80">
            <v>0.5</v>
          </cell>
          <cell r="Q80">
            <v>1</v>
          </cell>
          <cell r="S80">
            <v>1</v>
          </cell>
          <cell r="T80">
            <v>1</v>
          </cell>
          <cell r="W80">
            <v>1</v>
          </cell>
          <cell r="X80">
            <v>1</v>
          </cell>
          <cell r="Z80">
            <v>1</v>
          </cell>
          <cell r="AC80">
            <v>1</v>
          </cell>
          <cell r="AD80">
            <v>1</v>
          </cell>
          <cell r="AJ80">
            <v>13.5</v>
          </cell>
          <cell r="AK80" t="str">
            <v>Mr. VISHAL MOHAN MANE</v>
          </cell>
          <cell r="AL80">
            <v>152.54000000000002</v>
          </cell>
          <cell r="AM80">
            <v>152.54000000000002</v>
          </cell>
          <cell r="AN80" t="str">
            <v>Mr. VISHAL MOHAN MANE</v>
          </cell>
          <cell r="AO80" t="b">
            <v>1</v>
          </cell>
          <cell r="AP80" t="str">
            <v>FOU80</v>
          </cell>
        </row>
        <row r="81">
          <cell r="C81">
            <v>101486099649</v>
          </cell>
          <cell r="D81" t="str">
            <v>JADHAV PUNDLIK C</v>
          </cell>
          <cell r="E81" t="str">
            <v xml:space="preserve">REWORK </v>
          </cell>
          <cell r="F81">
            <v>1</v>
          </cell>
          <cell r="G81">
            <v>1</v>
          </cell>
          <cell r="H81">
            <v>2</v>
          </cell>
          <cell r="J81">
            <v>1</v>
          </cell>
          <cell r="L81">
            <v>1</v>
          </cell>
          <cell r="N81">
            <v>1</v>
          </cell>
          <cell r="O81">
            <v>1</v>
          </cell>
          <cell r="P81">
            <v>1</v>
          </cell>
          <cell r="R81">
            <v>1</v>
          </cell>
          <cell r="S81">
            <v>1</v>
          </cell>
          <cell r="U81">
            <v>1</v>
          </cell>
          <cell r="V81">
            <v>0.5</v>
          </cell>
          <cell r="AB81">
            <v>1</v>
          </cell>
          <cell r="AC81">
            <v>1</v>
          </cell>
          <cell r="AE81">
            <v>2</v>
          </cell>
          <cell r="AF81">
            <v>1</v>
          </cell>
          <cell r="AG81">
            <v>1</v>
          </cell>
          <cell r="AH81">
            <v>2</v>
          </cell>
          <cell r="AJ81">
            <v>20.5</v>
          </cell>
          <cell r="AK81" t="str">
            <v>Mr. PUNDALIK CHANDU JADHAV</v>
          </cell>
          <cell r="AL81">
            <v>36.119999999999997</v>
          </cell>
          <cell r="AM81">
            <v>36.119999999999997</v>
          </cell>
          <cell r="AN81" t="str">
            <v>Mr. PUNDALIK CHANDU JADHAV</v>
          </cell>
          <cell r="AO81" t="b">
            <v>1</v>
          </cell>
          <cell r="AP81" t="str">
            <v>FOU26</v>
          </cell>
        </row>
        <row r="82">
          <cell r="C82">
            <v>101972731570</v>
          </cell>
          <cell r="D82" t="str">
            <v>BHARAT SANTOSH SARADE</v>
          </cell>
          <cell r="E82" t="str">
            <v xml:space="preserve">PAINTER 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1</v>
          </cell>
          <cell r="K82">
            <v>1</v>
          </cell>
          <cell r="L82">
            <v>1</v>
          </cell>
          <cell r="N82">
            <v>1</v>
          </cell>
          <cell r="O82">
            <v>2</v>
          </cell>
          <cell r="P82">
            <v>1</v>
          </cell>
          <cell r="Q82">
            <v>2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C82">
            <v>1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29</v>
          </cell>
          <cell r="AK82" t="str">
            <v>Mr. BHARAT SANTOSH SARADE</v>
          </cell>
          <cell r="AL82">
            <v>314.09000000000003</v>
          </cell>
          <cell r="AM82">
            <v>314.09000000000003</v>
          </cell>
          <cell r="AN82" t="str">
            <v>Mr. BHARAT SANTOSH SARADE</v>
          </cell>
          <cell r="AO82" t="b">
            <v>1</v>
          </cell>
          <cell r="AP82" t="str">
            <v>FOU64</v>
          </cell>
        </row>
        <row r="83">
          <cell r="C83">
            <v>101396804599</v>
          </cell>
          <cell r="D83" t="str">
            <v>SHARNAPPA KHEDAGIKAR</v>
          </cell>
          <cell r="E83" t="str">
            <v xml:space="preserve">PAINTER </v>
          </cell>
          <cell r="F83">
            <v>1</v>
          </cell>
          <cell r="G83">
            <v>1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B83">
            <v>1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J83">
            <v>26</v>
          </cell>
          <cell r="AK83" t="str">
            <v>Mr. SHARANAPPA KHEDAGIKAR</v>
          </cell>
          <cell r="AL83">
            <v>315.96000000000004</v>
          </cell>
          <cell r="AM83">
            <v>315.96000000000004</v>
          </cell>
          <cell r="AN83" t="str">
            <v>Mr. SHARANAPPA KHEDAGIKAR</v>
          </cell>
          <cell r="AO83" t="b">
            <v>1</v>
          </cell>
          <cell r="AP83" t="str">
            <v>FOU74</v>
          </cell>
        </row>
        <row r="84">
          <cell r="C84">
            <v>102067179570</v>
          </cell>
          <cell r="D84" t="str">
            <v>SONAWANE NAGNATH KASHINATH</v>
          </cell>
          <cell r="E84" t="str">
            <v xml:space="preserve">PAINTER </v>
          </cell>
          <cell r="G84">
            <v>1</v>
          </cell>
          <cell r="H84">
            <v>1</v>
          </cell>
          <cell r="I84">
            <v>1</v>
          </cell>
          <cell r="J84">
            <v>1</v>
          </cell>
          <cell r="L84">
            <v>1</v>
          </cell>
          <cell r="N84">
            <v>1</v>
          </cell>
          <cell r="O84">
            <v>2</v>
          </cell>
          <cell r="P84">
            <v>1</v>
          </cell>
          <cell r="Q84">
            <v>1</v>
          </cell>
          <cell r="R84">
            <v>2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28</v>
          </cell>
          <cell r="AK84" t="str">
            <v>Mr. NAGANATH KASHINATH SONWANE</v>
          </cell>
          <cell r="AL84">
            <v>450.60999999999979</v>
          </cell>
          <cell r="AM84">
            <v>450.60999999999979</v>
          </cell>
          <cell r="AN84" t="str">
            <v>Mr. NAGANATH KASHINATH SONWANE</v>
          </cell>
          <cell r="AO84" t="b">
            <v>1</v>
          </cell>
          <cell r="AP84" t="str">
            <v>FOU114</v>
          </cell>
        </row>
        <row r="85">
          <cell r="C85">
            <v>102086487131</v>
          </cell>
          <cell r="D85" t="str">
            <v>SUDHAKAR BHIMASHANKAR KOGANURE</v>
          </cell>
          <cell r="E85" t="str">
            <v xml:space="preserve">PAINTER </v>
          </cell>
          <cell r="I85">
            <v>1</v>
          </cell>
          <cell r="J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B85">
            <v>1</v>
          </cell>
          <cell r="AC85">
            <v>1</v>
          </cell>
          <cell r="AD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21</v>
          </cell>
          <cell r="AK85" t="str">
            <v>Mr. SUDHAKAR BHIMASHANKAR KOGANURE</v>
          </cell>
          <cell r="AL85">
            <v>402.38999999999987</v>
          </cell>
          <cell r="AM85">
            <v>402.38999999999987</v>
          </cell>
          <cell r="AN85" t="str">
            <v>Mr. SUDHAKAR BHIMASHANKAR KOGANURE</v>
          </cell>
          <cell r="AO85" t="b">
            <v>1</v>
          </cell>
          <cell r="AP85" t="str">
            <v>FOU209</v>
          </cell>
        </row>
        <row r="86">
          <cell r="C86">
            <v>102062761038</v>
          </cell>
          <cell r="D86" t="str">
            <v>BASAVRAJ SHIVANNA KOLI</v>
          </cell>
          <cell r="E86" t="str">
            <v xml:space="preserve">PAINTER 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N86">
            <v>1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25</v>
          </cell>
          <cell r="AK86" t="str">
            <v>Mr. BASAVRAJ SHIVANNA KOLI</v>
          </cell>
          <cell r="AL86">
            <v>357.03999999999991</v>
          </cell>
          <cell r="AM86">
            <v>357.03999999999991</v>
          </cell>
          <cell r="AN86" t="str">
            <v>Mr. BASAVRAJ SHIVANNA KOLI</v>
          </cell>
          <cell r="AO86" t="b">
            <v>1</v>
          </cell>
          <cell r="AP86" t="str">
            <v>FOU105</v>
          </cell>
        </row>
        <row r="87">
          <cell r="C87">
            <v>102032852951</v>
          </cell>
          <cell r="D87" t="str">
            <v>KUMBHAR PRAKASH SHEMNIG</v>
          </cell>
          <cell r="E87" t="str">
            <v xml:space="preserve">PAINTER 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N87">
            <v>1</v>
          </cell>
          <cell r="O87">
            <v>1</v>
          </cell>
          <cell r="Q87">
            <v>1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24</v>
          </cell>
          <cell r="AK87" t="str">
            <v>Mr. PRAKASH</v>
          </cell>
          <cell r="AL87">
            <v>449.21999999999997</v>
          </cell>
          <cell r="AM87">
            <v>449.21999999999997</v>
          </cell>
          <cell r="AN87" t="str">
            <v>Mr. PRAKASH</v>
          </cell>
          <cell r="AO87" t="b">
            <v>1</v>
          </cell>
          <cell r="AP87" t="str">
            <v>FOU375</v>
          </cell>
        </row>
        <row r="88">
          <cell r="C88">
            <v>101678665637</v>
          </cell>
          <cell r="D88" t="str">
            <v>GENSIDHHA AMASIDHHA VAMANE</v>
          </cell>
          <cell r="E88" t="str">
            <v xml:space="preserve">PAINTER </v>
          </cell>
          <cell r="I88">
            <v>1</v>
          </cell>
          <cell r="K88">
            <v>1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Q88">
            <v>1</v>
          </cell>
          <cell r="R88">
            <v>1</v>
          </cell>
          <cell r="S88">
            <v>1</v>
          </cell>
          <cell r="U88">
            <v>2</v>
          </cell>
          <cell r="W88">
            <v>1</v>
          </cell>
          <cell r="Y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J88">
            <v>19</v>
          </cell>
          <cell r="AK88" t="str">
            <v>Mr. GHENSIDDHA AMASIDHDA VANAMANE</v>
          </cell>
          <cell r="AL88">
            <v>49.089999999999996</v>
          </cell>
          <cell r="AM88">
            <v>49.089999999999996</v>
          </cell>
          <cell r="AN88" t="str">
            <v>Mr. GHENSIDDHA AMASIDHDA VANAMANE</v>
          </cell>
          <cell r="AO88" t="b">
            <v>1</v>
          </cell>
          <cell r="AP88" t="str">
            <v>FOU461</v>
          </cell>
        </row>
        <row r="89">
          <cell r="C89">
            <v>101966176359</v>
          </cell>
          <cell r="D89" t="str">
            <v>BASVRAJ SHRISHAIL SODDE</v>
          </cell>
          <cell r="E89" t="str">
            <v xml:space="preserve">PAINTER </v>
          </cell>
          <cell r="G89">
            <v>2</v>
          </cell>
          <cell r="H89">
            <v>2</v>
          </cell>
          <cell r="I89">
            <v>1</v>
          </cell>
          <cell r="J89">
            <v>1</v>
          </cell>
          <cell r="K89">
            <v>1</v>
          </cell>
          <cell r="L89">
            <v>2</v>
          </cell>
          <cell r="M89">
            <v>1</v>
          </cell>
          <cell r="N89">
            <v>1</v>
          </cell>
          <cell r="O89">
            <v>1</v>
          </cell>
          <cell r="R89">
            <v>1</v>
          </cell>
          <cell r="S89">
            <v>1</v>
          </cell>
          <cell r="V89">
            <v>1</v>
          </cell>
          <cell r="W89">
            <v>1</v>
          </cell>
          <cell r="X89">
            <v>1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J89">
            <v>25</v>
          </cell>
          <cell r="AK89" t="str">
            <v>Mr. BASAVARAJ SHRISHAIL SODDE</v>
          </cell>
          <cell r="AL89">
            <v>535.03999999999974</v>
          </cell>
          <cell r="AM89">
            <v>535.03999999999974</v>
          </cell>
          <cell r="AN89" t="str">
            <v>Mr. BASAVARAJ SHRISHAIL SODDE</v>
          </cell>
          <cell r="AO89" t="b">
            <v>1</v>
          </cell>
          <cell r="AP89" t="str">
            <v>FOU60</v>
          </cell>
        </row>
        <row r="90">
          <cell r="C90">
            <v>102261619396</v>
          </cell>
          <cell r="D90" t="str">
            <v>TOLNURE KASHINATH SIDHRAM</v>
          </cell>
          <cell r="E90" t="str">
            <v xml:space="preserve">PAINTER </v>
          </cell>
          <cell r="G90">
            <v>1</v>
          </cell>
          <cell r="H90">
            <v>1</v>
          </cell>
          <cell r="I90">
            <v>1</v>
          </cell>
          <cell r="J90">
            <v>1</v>
          </cell>
          <cell r="K90">
            <v>2</v>
          </cell>
          <cell r="L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J90">
            <v>22</v>
          </cell>
          <cell r="AK90" t="str">
            <v>Mr. KASHINATH SIDHARAM TOLANURE</v>
          </cell>
          <cell r="AL90">
            <v>441.68999999999994</v>
          </cell>
          <cell r="AM90">
            <v>441.68999999999994</v>
          </cell>
          <cell r="AN90" t="str">
            <v>Mr. KASHINATH SIDHARAM TOLANURE</v>
          </cell>
          <cell r="AO90" t="b">
            <v>1</v>
          </cell>
          <cell r="AP90" t="str">
            <v>FOU685</v>
          </cell>
        </row>
        <row r="91">
          <cell r="C91">
            <v>102260241245</v>
          </cell>
          <cell r="D91" t="str">
            <v>DHANRAJ DATTATRAY SHINDE</v>
          </cell>
          <cell r="E91" t="str">
            <v xml:space="preserve">GENERAL 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V91">
            <v>1</v>
          </cell>
          <cell r="W91">
            <v>1</v>
          </cell>
          <cell r="Y91">
            <v>1</v>
          </cell>
          <cell r="Z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J91">
            <v>21</v>
          </cell>
          <cell r="AK91" t="str">
            <v>Mr. DHANRAJ DATTATRAY SHINDE</v>
          </cell>
          <cell r="AL91">
            <v>549.96999999999991</v>
          </cell>
          <cell r="AM91">
            <v>549.96999999999991</v>
          </cell>
          <cell r="AN91" t="str">
            <v>Mr. DHANRAJ DATTATRAY SHINDE</v>
          </cell>
          <cell r="AO91" t="b">
            <v>1</v>
          </cell>
          <cell r="AP91" t="str">
            <v>FOU674</v>
          </cell>
        </row>
        <row r="92">
          <cell r="C92">
            <v>102259643488</v>
          </cell>
          <cell r="D92" t="str">
            <v>KATAKAR SAI MAHESH</v>
          </cell>
          <cell r="E92" t="str">
            <v xml:space="preserve">GENERAL </v>
          </cell>
          <cell r="H92">
            <v>1</v>
          </cell>
          <cell r="I92">
            <v>1</v>
          </cell>
          <cell r="J92">
            <v>1</v>
          </cell>
          <cell r="K92">
            <v>1</v>
          </cell>
          <cell r="L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24</v>
          </cell>
          <cell r="AK92" t="str">
            <v>Mr. SAI MAHESH KATKAR</v>
          </cell>
          <cell r="AL92">
            <v>551.66999999999985</v>
          </cell>
          <cell r="AM92">
            <v>551.66999999999985</v>
          </cell>
          <cell r="AN92" t="str">
            <v>Mr. SAI MAHESH KATKAR</v>
          </cell>
          <cell r="AO92" t="b">
            <v>1</v>
          </cell>
          <cell r="AP92" t="str">
            <v>FOU677</v>
          </cell>
        </row>
        <row r="93">
          <cell r="C93" t="str">
            <v>RAHUL BALU CHAVHAN</v>
          </cell>
          <cell r="D93" t="str">
            <v>RAHUL BALU CHAVAN</v>
          </cell>
          <cell r="E93" t="str">
            <v xml:space="preserve">GENERAL </v>
          </cell>
          <cell r="H93">
            <v>1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N93">
            <v>1</v>
          </cell>
          <cell r="O93">
            <v>1</v>
          </cell>
          <cell r="Q93">
            <v>1</v>
          </cell>
          <cell r="R93">
            <v>1</v>
          </cell>
          <cell r="S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I93">
            <v>1</v>
          </cell>
          <cell r="AJ93">
            <v>21</v>
          </cell>
          <cell r="AK93" t="e">
            <v>#N/A</v>
          </cell>
          <cell r="AL93">
            <v>221.96000000000006</v>
          </cell>
          <cell r="AM93">
            <v>221.96000000000006</v>
          </cell>
          <cell r="AN93" t="str">
            <v>RAHUL BALU CHAVHAN</v>
          </cell>
          <cell r="AO93" t="e">
            <v>#N/A</v>
          </cell>
          <cell r="AP93" t="str">
            <v>FOU817</v>
          </cell>
        </row>
        <row r="94">
          <cell r="C94" t="str">
            <v>NAGESG REVANSIDHHA BIRAJDAR</v>
          </cell>
          <cell r="D94" t="str">
            <v>NAGESG REVANSIDHHA BIRAJDAR</v>
          </cell>
          <cell r="E94" t="str">
            <v xml:space="preserve">GENERAL 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1</v>
          </cell>
          <cell r="L94">
            <v>1</v>
          </cell>
          <cell r="N94">
            <v>1</v>
          </cell>
          <cell r="O94">
            <v>1</v>
          </cell>
          <cell r="Q94">
            <v>1</v>
          </cell>
          <cell r="R94">
            <v>1</v>
          </cell>
          <cell r="S94">
            <v>1</v>
          </cell>
          <cell r="U94">
            <v>1</v>
          </cell>
          <cell r="V94">
            <v>1</v>
          </cell>
          <cell r="W94">
            <v>1</v>
          </cell>
          <cell r="Y94">
            <v>1</v>
          </cell>
          <cell r="Z94">
            <v>1</v>
          </cell>
          <cell r="AE94">
            <v>1</v>
          </cell>
          <cell r="AF94">
            <v>1</v>
          </cell>
          <cell r="AG94">
            <v>1</v>
          </cell>
          <cell r="AH94">
            <v>1</v>
          </cell>
          <cell r="AI94">
            <v>1</v>
          </cell>
          <cell r="AJ94">
            <v>21</v>
          </cell>
          <cell r="AK94" t="e">
            <v>#N/A</v>
          </cell>
          <cell r="AL94">
            <v>84.65</v>
          </cell>
          <cell r="AM94">
            <v>84</v>
          </cell>
          <cell r="AN94" t="str">
            <v>NAGESG REVANSIDHHA BIRAJDAR</v>
          </cell>
          <cell r="AO94" t="e">
            <v>#N/A</v>
          </cell>
          <cell r="AP94" t="str">
            <v>FOU849</v>
          </cell>
        </row>
        <row r="95">
          <cell r="C95" t="str">
            <v>SHANKAR GIRMAL MALI</v>
          </cell>
          <cell r="D95" t="str">
            <v>SHANKAR GIRMAL MALI</v>
          </cell>
          <cell r="E95" t="str">
            <v xml:space="preserve">GENERAL 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U95">
            <v>1</v>
          </cell>
          <cell r="V95">
            <v>1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B95">
            <v>1</v>
          </cell>
          <cell r="AJ95">
            <v>19</v>
          </cell>
          <cell r="AK95" t="e">
            <v>#N/A</v>
          </cell>
          <cell r="AL95">
            <v>296.29000000000002</v>
          </cell>
          <cell r="AM95">
            <v>296.29000000000002</v>
          </cell>
          <cell r="AN95" t="str">
            <v>SHANKAR GIRMAL MALI</v>
          </cell>
          <cell r="AO95" t="e">
            <v>#N/A</v>
          </cell>
          <cell r="AP95" t="str">
            <v>FOU851</v>
          </cell>
        </row>
        <row r="96">
          <cell r="C96">
            <v>102004403215</v>
          </cell>
          <cell r="D96" t="str">
            <v>KUSHAL PRASAD</v>
          </cell>
          <cell r="E96" t="str">
            <v xml:space="preserve">GENERAL </v>
          </cell>
          <cell r="G96">
            <v>1</v>
          </cell>
          <cell r="H96">
            <v>1</v>
          </cell>
          <cell r="I96">
            <v>1</v>
          </cell>
          <cell r="L96">
            <v>1</v>
          </cell>
          <cell r="N96">
            <v>1</v>
          </cell>
          <cell r="Q96">
            <v>1</v>
          </cell>
          <cell r="AJ96">
            <v>6</v>
          </cell>
          <cell r="AK96" t="e">
            <v>#N/A</v>
          </cell>
          <cell r="AL96">
            <v>107.80000000000001</v>
          </cell>
          <cell r="AM96">
            <v>107.80000000000001</v>
          </cell>
          <cell r="AN96" t="str">
            <v>KUSHAL PRASAD</v>
          </cell>
          <cell r="AO96" t="e">
            <v>#N/A</v>
          </cell>
          <cell r="AP96" t="str">
            <v>FOU855</v>
          </cell>
        </row>
        <row r="97">
          <cell r="C97">
            <v>102315753105</v>
          </cell>
          <cell r="D97" t="str">
            <v>CHANDRABHAN SINGH</v>
          </cell>
          <cell r="E97" t="str">
            <v xml:space="preserve">GENERAL </v>
          </cell>
          <cell r="H97">
            <v>1</v>
          </cell>
          <cell r="I97">
            <v>1</v>
          </cell>
          <cell r="J97">
            <v>1</v>
          </cell>
          <cell r="N97">
            <v>1</v>
          </cell>
          <cell r="O97">
            <v>1</v>
          </cell>
          <cell r="Q97">
            <v>1</v>
          </cell>
          <cell r="R97">
            <v>1</v>
          </cell>
          <cell r="AJ97">
            <v>7</v>
          </cell>
          <cell r="AK97" t="e">
            <v>#N/A</v>
          </cell>
          <cell r="AL97">
            <v>150.67000000000002</v>
          </cell>
          <cell r="AM97">
            <v>150.67000000000002</v>
          </cell>
          <cell r="AN97" t="str">
            <v>CHANDRABHAN SINGH</v>
          </cell>
          <cell r="AO97" t="e">
            <v>#N/A</v>
          </cell>
          <cell r="AP97" t="str">
            <v>FOU856</v>
          </cell>
        </row>
        <row r="98">
          <cell r="C98">
            <v>101811097763</v>
          </cell>
          <cell r="D98" t="str">
            <v>YUPENDRA KUMAR SANT</v>
          </cell>
          <cell r="E98" t="str">
            <v xml:space="preserve">GENERAL 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N98">
            <v>1</v>
          </cell>
          <cell r="O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V98">
            <v>1</v>
          </cell>
          <cell r="W98">
            <v>1</v>
          </cell>
          <cell r="X98">
            <v>2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27</v>
          </cell>
          <cell r="AK98" t="str">
            <v>Mr. YUPENDRA KUMAR SANT</v>
          </cell>
          <cell r="AL98">
            <v>718.25999999999954</v>
          </cell>
          <cell r="AM98">
            <v>718.25999999999954</v>
          </cell>
          <cell r="AN98" t="str">
            <v>YUPENDRA KUMAR SINGH</v>
          </cell>
          <cell r="AO98" t="b">
            <v>0</v>
          </cell>
          <cell r="AP98" t="str">
            <v>FOU857</v>
          </cell>
        </row>
        <row r="99">
          <cell r="C99">
            <v>102315791438</v>
          </cell>
          <cell r="D99" t="str">
            <v>RAGHVENDRA SINGH</v>
          </cell>
          <cell r="E99" t="str">
            <v xml:space="preserve">GENERAL 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AJ99">
            <v>9</v>
          </cell>
          <cell r="AK99" t="str">
            <v>Mr. RAGHVENDRA SINGH</v>
          </cell>
          <cell r="AL99">
            <v>107.41</v>
          </cell>
          <cell r="AM99">
            <v>107.41</v>
          </cell>
          <cell r="AN99" t="str">
            <v>RAGHVENDRA SINGH</v>
          </cell>
          <cell r="AO99" t="b">
            <v>0</v>
          </cell>
          <cell r="AP99" t="str">
            <v>FOU859</v>
          </cell>
        </row>
        <row r="100">
          <cell r="C100">
            <v>101938681040</v>
          </cell>
          <cell r="D100" t="str">
            <v>CHAINSINGH CHINTASINGH MASARAM</v>
          </cell>
          <cell r="E100" t="str">
            <v xml:space="preserve">GENERAL </v>
          </cell>
          <cell r="I100">
            <v>1</v>
          </cell>
          <cell r="J100">
            <v>1</v>
          </cell>
          <cell r="K100">
            <v>1</v>
          </cell>
          <cell r="L100">
            <v>1</v>
          </cell>
          <cell r="O100">
            <v>1</v>
          </cell>
          <cell r="P100">
            <v>1</v>
          </cell>
          <cell r="AJ100">
            <v>6</v>
          </cell>
          <cell r="AK100" t="str">
            <v>Mr. CHAIN SINGH</v>
          </cell>
          <cell r="AL100">
            <v>43.26</v>
          </cell>
          <cell r="AM100">
            <v>43.26</v>
          </cell>
          <cell r="AN100" t="str">
            <v>CHAINSINGH CHINTASINGH MASARAM</v>
          </cell>
          <cell r="AO100" t="b">
            <v>0</v>
          </cell>
          <cell r="AP100" t="str">
            <v>FOU860</v>
          </cell>
        </row>
        <row r="101">
          <cell r="C101">
            <v>102315785207</v>
          </cell>
          <cell r="D101" t="str">
            <v>KHULEL RAMESH SINGH</v>
          </cell>
          <cell r="E101" t="str">
            <v xml:space="preserve">GENERAL 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N101">
            <v>1</v>
          </cell>
          <cell r="O101">
            <v>1</v>
          </cell>
          <cell r="AJ101">
            <v>6</v>
          </cell>
          <cell r="AK101" t="str">
            <v>Mr. KHELAVAN SINGH</v>
          </cell>
          <cell r="AL101" t="e">
            <v>#N/A</v>
          </cell>
          <cell r="AN101" t="str">
            <v>KHELAVAN SINGH</v>
          </cell>
          <cell r="AO101" t="b">
            <v>0</v>
          </cell>
          <cell r="AP101" t="str">
            <v>FOU858</v>
          </cell>
        </row>
        <row r="102">
          <cell r="C102">
            <v>102062806876</v>
          </cell>
          <cell r="D102" t="str">
            <v>NADAF ARBAJ ILAHI</v>
          </cell>
          <cell r="E102" t="str">
            <v xml:space="preserve">YANMAR LINE 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L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B102">
            <v>1</v>
          </cell>
          <cell r="AC102">
            <v>2</v>
          </cell>
          <cell r="AE102">
            <v>1</v>
          </cell>
          <cell r="AF102">
            <v>2</v>
          </cell>
          <cell r="AG102">
            <v>1</v>
          </cell>
          <cell r="AH102">
            <v>1</v>
          </cell>
          <cell r="AI102">
            <v>1</v>
          </cell>
          <cell r="AJ102">
            <v>26</v>
          </cell>
          <cell r="AK102" t="str">
            <v>Mr. ARBAZ NADAF</v>
          </cell>
          <cell r="AL102">
            <v>619.4699999999998</v>
          </cell>
          <cell r="AM102">
            <v>619.4699999999998</v>
          </cell>
          <cell r="AN102" t="str">
            <v>Mr. ARBAZ NADAF</v>
          </cell>
          <cell r="AO102" t="b">
            <v>1</v>
          </cell>
          <cell r="AP102" t="str">
            <v>FOU107</v>
          </cell>
        </row>
        <row r="103">
          <cell r="C103">
            <v>102053057864</v>
          </cell>
          <cell r="D103" t="str">
            <v>JAVED AJMODDIN NADAF</v>
          </cell>
          <cell r="E103" t="str">
            <v xml:space="preserve">YANMAR LINE </v>
          </cell>
          <cell r="G103">
            <v>1</v>
          </cell>
          <cell r="I103">
            <v>1</v>
          </cell>
          <cell r="J103">
            <v>1</v>
          </cell>
          <cell r="K103">
            <v>1</v>
          </cell>
          <cell r="L103">
            <v>1</v>
          </cell>
          <cell r="O103">
            <v>1</v>
          </cell>
          <cell r="Q103">
            <v>1</v>
          </cell>
          <cell r="R103">
            <v>1</v>
          </cell>
          <cell r="S103">
            <v>1</v>
          </cell>
          <cell r="U103">
            <v>1</v>
          </cell>
          <cell r="V103">
            <v>1</v>
          </cell>
          <cell r="W103">
            <v>1</v>
          </cell>
          <cell r="X103">
            <v>1</v>
          </cell>
          <cell r="Y103">
            <v>1</v>
          </cell>
          <cell r="AB103">
            <v>2</v>
          </cell>
          <cell r="AC103">
            <v>2</v>
          </cell>
          <cell r="AE103">
            <v>1</v>
          </cell>
          <cell r="AJ103">
            <v>19</v>
          </cell>
          <cell r="AK103" t="str">
            <v>Mr. JAVED AJMODDIN NADAF</v>
          </cell>
          <cell r="AL103">
            <v>342.29</v>
          </cell>
          <cell r="AM103">
            <v>342.29</v>
          </cell>
          <cell r="AN103" t="str">
            <v>Mr. JAVED AJMODDIN NADAF</v>
          </cell>
          <cell r="AO103" t="b">
            <v>1</v>
          </cell>
          <cell r="AP103" t="str">
            <v>FOU534</v>
          </cell>
        </row>
        <row r="104">
          <cell r="C104">
            <v>102146549923</v>
          </cell>
          <cell r="D104" t="str">
            <v>PRASHANT RAJU KOLI</v>
          </cell>
          <cell r="E104" t="str">
            <v xml:space="preserve">YANMAR LINE </v>
          </cell>
          <cell r="G104">
            <v>1</v>
          </cell>
          <cell r="H104">
            <v>1</v>
          </cell>
          <cell r="I104">
            <v>1</v>
          </cell>
          <cell r="J104">
            <v>1</v>
          </cell>
          <cell r="K104">
            <v>2</v>
          </cell>
          <cell r="L104">
            <v>1</v>
          </cell>
          <cell r="N104">
            <v>1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U104">
            <v>1</v>
          </cell>
          <cell r="X104">
            <v>1</v>
          </cell>
          <cell r="Y104">
            <v>1</v>
          </cell>
          <cell r="Z104">
            <v>1</v>
          </cell>
          <cell r="AB104">
            <v>1</v>
          </cell>
          <cell r="AC104">
            <v>2</v>
          </cell>
          <cell r="AD104">
            <v>2</v>
          </cell>
          <cell r="AE104">
            <v>1</v>
          </cell>
          <cell r="AF104">
            <v>1</v>
          </cell>
          <cell r="AG104">
            <v>1</v>
          </cell>
          <cell r="AH104">
            <v>1</v>
          </cell>
          <cell r="AI104">
            <v>1</v>
          </cell>
          <cell r="AJ104">
            <v>27</v>
          </cell>
          <cell r="AK104" t="str">
            <v>Mr. PRASHANT RAJU KOLI</v>
          </cell>
          <cell r="AL104">
            <v>506.15000000000003</v>
          </cell>
          <cell r="AM104">
            <v>506.15000000000003</v>
          </cell>
          <cell r="AN104" t="str">
            <v>Mr. PRASHANT RAJU KOLI</v>
          </cell>
          <cell r="AO104" t="b">
            <v>1</v>
          </cell>
          <cell r="AP104" t="str">
            <v>FOU736</v>
          </cell>
        </row>
        <row r="105">
          <cell r="C105">
            <v>102146553230</v>
          </cell>
          <cell r="D105" t="str">
            <v>KUNDAN SANJAY GAIKWAD</v>
          </cell>
          <cell r="E105" t="str">
            <v xml:space="preserve">YANMAR LINE 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V105">
            <v>1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J105">
            <v>25</v>
          </cell>
          <cell r="AK105" t="str">
            <v>Mr. KUNDAN SANJAY GAIKWAD</v>
          </cell>
          <cell r="AL105">
            <v>368.78999999999996</v>
          </cell>
          <cell r="AM105">
            <v>368.78999999999996</v>
          </cell>
          <cell r="AN105" t="str">
            <v>Mr. KUNDAN SANJAY GAIKWAD</v>
          </cell>
          <cell r="AO105" t="b">
            <v>1</v>
          </cell>
          <cell r="AP105" t="str">
            <v>FOU737</v>
          </cell>
        </row>
        <row r="106">
          <cell r="C106">
            <v>101541847309</v>
          </cell>
          <cell r="D106" t="str">
            <v>BAGALE NILESH</v>
          </cell>
          <cell r="E106" t="str">
            <v xml:space="preserve">FD SUP </v>
          </cell>
          <cell r="F106">
            <v>1</v>
          </cell>
          <cell r="J106">
            <v>1</v>
          </cell>
          <cell r="K106">
            <v>1</v>
          </cell>
          <cell r="N106">
            <v>1</v>
          </cell>
          <cell r="O106">
            <v>2</v>
          </cell>
          <cell r="P106">
            <v>1</v>
          </cell>
          <cell r="Q106">
            <v>1</v>
          </cell>
          <cell r="R106">
            <v>1.5</v>
          </cell>
          <cell r="S106">
            <v>1</v>
          </cell>
          <cell r="T106">
            <v>1</v>
          </cell>
          <cell r="U106">
            <v>1</v>
          </cell>
          <cell r="V106">
            <v>1</v>
          </cell>
          <cell r="W106">
            <v>2</v>
          </cell>
          <cell r="X106">
            <v>1</v>
          </cell>
          <cell r="Y106">
            <v>1</v>
          </cell>
          <cell r="AE106">
            <v>1.5</v>
          </cell>
          <cell r="AF106">
            <v>2</v>
          </cell>
          <cell r="AG106">
            <v>1</v>
          </cell>
          <cell r="AH106">
            <v>2</v>
          </cell>
          <cell r="AI106">
            <v>1</v>
          </cell>
          <cell r="AJ106">
            <v>25</v>
          </cell>
          <cell r="AK106" t="str">
            <v>Mr. NILKANTH NAGANNA BAGALE</v>
          </cell>
          <cell r="AL106" t="e">
            <v>#N/A</v>
          </cell>
          <cell r="AN106" t="e">
            <v>#N/A</v>
          </cell>
          <cell r="AO106" t="e">
            <v>#N/A</v>
          </cell>
          <cell r="AP106">
            <v>0</v>
          </cell>
        </row>
        <row r="107">
          <cell r="C107">
            <v>102056969235</v>
          </cell>
          <cell r="D107" t="str">
            <v>ANIKET DANGE</v>
          </cell>
          <cell r="E107" t="str">
            <v xml:space="preserve">FD SUP </v>
          </cell>
          <cell r="G107">
            <v>1</v>
          </cell>
          <cell r="H107">
            <v>1</v>
          </cell>
          <cell r="J107">
            <v>1</v>
          </cell>
          <cell r="K107">
            <v>1</v>
          </cell>
          <cell r="L107">
            <v>1</v>
          </cell>
          <cell r="P107">
            <v>1</v>
          </cell>
          <cell r="S107">
            <v>1</v>
          </cell>
          <cell r="U107">
            <v>1</v>
          </cell>
          <cell r="V107">
            <v>1</v>
          </cell>
          <cell r="W107">
            <v>1</v>
          </cell>
          <cell r="Y107">
            <v>1</v>
          </cell>
          <cell r="Z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2</v>
          </cell>
          <cell r="AI107">
            <v>1</v>
          </cell>
          <cell r="AJ107">
            <v>21</v>
          </cell>
          <cell r="AK107" t="str">
            <v>Mr. ANIKET SHRIPATI DANGE</v>
          </cell>
          <cell r="AL107">
            <v>152.93000000000004</v>
          </cell>
          <cell r="AM107">
            <v>152.93000000000004</v>
          </cell>
          <cell r="AN107" t="str">
            <v>Mr. ANIKET SHRIPATI DANGE</v>
          </cell>
          <cell r="AO107" t="b">
            <v>1</v>
          </cell>
          <cell r="AP107" t="str">
            <v>FOU225</v>
          </cell>
        </row>
        <row r="108">
          <cell r="C108" t="str">
            <v>YASH LAVHU KUMBHAR</v>
          </cell>
          <cell r="D108" t="str">
            <v>YASH LAVHU KUMBHAR</v>
          </cell>
          <cell r="E108" t="str">
            <v xml:space="preserve">FD SUP </v>
          </cell>
          <cell r="G108">
            <v>1</v>
          </cell>
          <cell r="H108">
            <v>1</v>
          </cell>
          <cell r="I108">
            <v>1</v>
          </cell>
          <cell r="J108">
            <v>1</v>
          </cell>
          <cell r="K108">
            <v>1</v>
          </cell>
          <cell r="L108">
            <v>1</v>
          </cell>
          <cell r="N108">
            <v>1</v>
          </cell>
          <cell r="AJ108">
            <v>7</v>
          </cell>
          <cell r="AK108" t="e">
            <v>#N/A</v>
          </cell>
          <cell r="AL108">
            <v>26.33</v>
          </cell>
          <cell r="AM108">
            <v>26.33</v>
          </cell>
          <cell r="AN108" t="str">
            <v>YASH LAVHU KUMBHAR</v>
          </cell>
          <cell r="AO108" t="e">
            <v>#N/A</v>
          </cell>
          <cell r="AP108" t="str">
            <v>FOU852</v>
          </cell>
        </row>
        <row r="109">
          <cell r="C109" t="str">
            <v>DESHMUKH</v>
          </cell>
          <cell r="D109" t="str">
            <v>DESHMUKH</v>
          </cell>
          <cell r="E109" t="str">
            <v xml:space="preserve">FD SUP </v>
          </cell>
          <cell r="AC109">
            <v>1</v>
          </cell>
          <cell r="AD109">
            <v>1</v>
          </cell>
          <cell r="AJ109">
            <v>2</v>
          </cell>
          <cell r="AK109" t="e">
            <v>#N/A</v>
          </cell>
          <cell r="AL109" t="e">
            <v>#N/A</v>
          </cell>
          <cell r="AN109" t="str">
            <v>DESHMUKH</v>
          </cell>
          <cell r="AO109" t="e">
            <v>#N/A</v>
          </cell>
          <cell r="AP109" t="e">
            <v>#N/A</v>
          </cell>
        </row>
        <row r="110">
          <cell r="C110">
            <v>102219962850</v>
          </cell>
          <cell r="D110" t="str">
            <v>WAGHULE  GANAGADHAR</v>
          </cell>
          <cell r="E110" t="str">
            <v xml:space="preserve">FD SUP </v>
          </cell>
          <cell r="F110">
            <v>1</v>
          </cell>
          <cell r="G110">
            <v>1</v>
          </cell>
          <cell r="H110">
            <v>1.5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Y110">
            <v>1</v>
          </cell>
          <cell r="Z110">
            <v>1</v>
          </cell>
          <cell r="AA110">
            <v>1</v>
          </cell>
          <cell r="AB110">
            <v>1.5</v>
          </cell>
          <cell r="AC110">
            <v>1</v>
          </cell>
          <cell r="AD110">
            <v>1</v>
          </cell>
          <cell r="AF110">
            <v>1</v>
          </cell>
          <cell r="AG110">
            <v>1</v>
          </cell>
          <cell r="AH110">
            <v>1.5</v>
          </cell>
          <cell r="AI110">
            <v>1</v>
          </cell>
          <cell r="AJ110">
            <v>28.5</v>
          </cell>
          <cell r="AK110" t="str">
            <v>Mr. GANGADHAR TUKARAM WAGHULE</v>
          </cell>
          <cell r="AL110">
            <v>312.66000000000008</v>
          </cell>
          <cell r="AM110">
            <v>312.66000000000008</v>
          </cell>
          <cell r="AN110" t="str">
            <v>Mr. GANGADHAR TUKARAM WAGHULE</v>
          </cell>
          <cell r="AO110" t="b">
            <v>1</v>
          </cell>
          <cell r="AP110" t="str">
            <v>FOU632</v>
          </cell>
        </row>
        <row r="111">
          <cell r="C111" t="str">
            <v>JOTINATH DEVGAN</v>
          </cell>
          <cell r="D111" t="str">
            <v>JOTINATH DEVGAN</v>
          </cell>
          <cell r="E111" t="str">
            <v xml:space="preserve">FD SUP </v>
          </cell>
          <cell r="G111">
            <v>1</v>
          </cell>
          <cell r="J111">
            <v>2</v>
          </cell>
          <cell r="K111">
            <v>1</v>
          </cell>
          <cell r="AJ111">
            <v>4</v>
          </cell>
          <cell r="AK111" t="e">
            <v>#N/A</v>
          </cell>
          <cell r="AL111" t="e">
            <v>#N/A</v>
          </cell>
          <cell r="AN111" t="str">
            <v>JOTINATH DEVGAN</v>
          </cell>
          <cell r="AO111" t="e">
            <v>#N/A</v>
          </cell>
          <cell r="AP111">
            <v>0</v>
          </cell>
        </row>
        <row r="112">
          <cell r="C112" t="str">
            <v>ABDULAZIZ MALLABADKAR</v>
          </cell>
          <cell r="D112" t="str">
            <v>ABDULAZIZ MALLABADKAR</v>
          </cell>
          <cell r="E112" t="str">
            <v xml:space="preserve">FD SUP </v>
          </cell>
          <cell r="J112">
            <v>1</v>
          </cell>
          <cell r="K112">
            <v>1</v>
          </cell>
          <cell r="L112">
            <v>1</v>
          </cell>
          <cell r="M112">
            <v>1</v>
          </cell>
          <cell r="N112">
            <v>1</v>
          </cell>
          <cell r="O112">
            <v>1</v>
          </cell>
          <cell r="Q112">
            <v>1</v>
          </cell>
          <cell r="S112">
            <v>1</v>
          </cell>
          <cell r="Y112">
            <v>1</v>
          </cell>
          <cell r="AJ112">
            <v>9</v>
          </cell>
          <cell r="AK112" t="e">
            <v>#N/A</v>
          </cell>
          <cell r="AL112" t="e">
            <v>#N/A</v>
          </cell>
          <cell r="AN112" t="str">
            <v>ABDULAZIZ MALLABADKAR</v>
          </cell>
          <cell r="AO112" t="e">
            <v>#N/A</v>
          </cell>
          <cell r="AP112" t="str">
            <v>FOU833</v>
          </cell>
        </row>
        <row r="113">
          <cell r="F113">
            <v>20</v>
          </cell>
          <cell r="G113">
            <v>74</v>
          </cell>
          <cell r="H113">
            <v>80</v>
          </cell>
          <cell r="I113">
            <v>86.5</v>
          </cell>
          <cell r="J113">
            <v>93</v>
          </cell>
          <cell r="K113">
            <v>89.5</v>
          </cell>
          <cell r="L113">
            <v>87</v>
          </cell>
          <cell r="M113">
            <v>14</v>
          </cell>
          <cell r="N113">
            <v>84</v>
          </cell>
          <cell r="O113">
            <v>92</v>
          </cell>
          <cell r="P113">
            <v>79</v>
          </cell>
          <cell r="Q113">
            <v>81</v>
          </cell>
          <cell r="R113">
            <v>85.5</v>
          </cell>
          <cell r="S113">
            <v>88</v>
          </cell>
          <cell r="T113">
            <v>27.5</v>
          </cell>
          <cell r="U113">
            <v>77.5</v>
          </cell>
          <cell r="V113">
            <v>84.5</v>
          </cell>
          <cell r="W113">
            <v>87</v>
          </cell>
          <cell r="X113">
            <v>77.5</v>
          </cell>
          <cell r="Y113">
            <v>86</v>
          </cell>
          <cell r="Z113">
            <v>78.5</v>
          </cell>
          <cell r="AA113">
            <v>18</v>
          </cell>
          <cell r="AB113">
            <v>79</v>
          </cell>
          <cell r="AC113">
            <v>85</v>
          </cell>
          <cell r="AD113">
            <v>85.5</v>
          </cell>
          <cell r="AE113">
            <v>85.5</v>
          </cell>
          <cell r="AF113">
            <v>79.5</v>
          </cell>
          <cell r="AG113">
            <v>73.5</v>
          </cell>
          <cell r="AH113">
            <v>79</v>
          </cell>
          <cell r="AI113">
            <v>75</v>
          </cell>
          <cell r="AJ113">
            <v>2232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7"/>
  <sheetViews>
    <sheetView tabSelected="1" workbookViewId="0">
      <selection activeCell="H2" sqref="H2"/>
    </sheetView>
  </sheetViews>
  <sheetFormatPr defaultRowHeight="12.75"/>
  <cols>
    <col min="1" max="1" width="5.5703125" style="19" bestFit="1" customWidth="1"/>
    <col min="2" max="2" width="14.85546875" style="19" bestFit="1" customWidth="1"/>
    <col min="3" max="3" width="12.7109375" style="19" bestFit="1" customWidth="1"/>
    <col min="4" max="4" width="16.28515625" style="52" bestFit="1" customWidth="1"/>
    <col min="5" max="5" width="14.28515625" style="53" bestFit="1" customWidth="1"/>
    <col min="6" max="6" width="41.5703125" style="53" bestFit="1" customWidth="1"/>
    <col min="7" max="7" width="10.5703125" style="53" customWidth="1"/>
    <col min="8" max="8" width="12.7109375" style="19" bestFit="1" customWidth="1"/>
    <col min="9" max="9" width="6.85546875" style="53" bestFit="1" customWidth="1"/>
    <col min="10" max="11" width="16.140625" style="54" bestFit="1" customWidth="1"/>
    <col min="12" max="12" width="17.42578125" style="19" bestFit="1" customWidth="1"/>
    <col min="13" max="13" width="29" style="53" bestFit="1" customWidth="1"/>
    <col min="14" max="14" width="14.28515625" style="53" bestFit="1" customWidth="1"/>
    <col min="15" max="15" width="19.28515625" style="53" bestFit="1" customWidth="1"/>
    <col min="16" max="17" width="28.140625" style="53" customWidth="1"/>
    <col min="18" max="18" width="14.28515625" style="53" customWidth="1"/>
    <col min="19" max="19" width="9.5703125" style="19" customWidth="1"/>
    <col min="20" max="20" width="14.42578125" style="19" customWidth="1"/>
    <col min="21" max="16384" width="9.140625" style="19"/>
  </cols>
  <sheetData>
    <row r="1" spans="1:20" s="4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394</v>
      </c>
      <c r="I1" s="2"/>
      <c r="J1" s="3" t="s">
        <v>7</v>
      </c>
      <c r="K1" s="3" t="s">
        <v>8</v>
      </c>
      <c r="L1" s="1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" t="s">
        <v>16</v>
      </c>
      <c r="T1" s="1" t="s">
        <v>17</v>
      </c>
    </row>
    <row r="2" spans="1:20" s="4" customFormat="1">
      <c r="A2" s="5">
        <v>1</v>
      </c>
      <c r="B2" s="5" t="s">
        <v>18</v>
      </c>
      <c r="C2" s="5" t="s">
        <v>19</v>
      </c>
      <c r="D2" s="6">
        <v>101447270865</v>
      </c>
      <c r="E2" s="7">
        <v>3314278646</v>
      </c>
      <c r="F2" s="8" t="s">
        <v>20</v>
      </c>
      <c r="G2" s="9" t="s">
        <v>21</v>
      </c>
      <c r="H2" s="5" t="str">
        <f>VLOOKUP(D2,'[1]Google attandance April -26'!$C:$AP,40,0)</f>
        <v>FOU49</v>
      </c>
      <c r="I2" s="10" t="s">
        <v>22</v>
      </c>
      <c r="J2" s="11">
        <v>35653</v>
      </c>
      <c r="K2" s="11">
        <v>44996</v>
      </c>
      <c r="L2" s="12">
        <v>264402551162</v>
      </c>
      <c r="M2" s="13" t="s">
        <v>23</v>
      </c>
      <c r="N2" s="14" t="s">
        <v>24</v>
      </c>
      <c r="O2" s="15" t="s">
        <v>25</v>
      </c>
      <c r="P2" s="16"/>
      <c r="Q2" s="17"/>
      <c r="R2" s="17">
        <v>7030578120</v>
      </c>
      <c r="S2" s="7"/>
      <c r="T2" s="7"/>
    </row>
    <row r="3" spans="1:20">
      <c r="A3" s="5">
        <v>2</v>
      </c>
      <c r="B3" s="5" t="s">
        <v>18</v>
      </c>
      <c r="C3" s="5" t="s">
        <v>26</v>
      </c>
      <c r="D3" s="6">
        <v>101747190938</v>
      </c>
      <c r="E3" s="7">
        <v>3313290894</v>
      </c>
      <c r="F3" s="18" t="s">
        <v>27</v>
      </c>
      <c r="G3" s="9" t="s">
        <v>28</v>
      </c>
      <c r="H3" s="5" t="str">
        <f>VLOOKUP(D3,'[1]Google attandance April -26'!$C:$AP,40,0)</f>
        <v>FOU32</v>
      </c>
      <c r="I3" s="10" t="s">
        <v>22</v>
      </c>
      <c r="J3" s="11">
        <v>37541</v>
      </c>
      <c r="K3" s="11">
        <v>44510</v>
      </c>
      <c r="L3" s="12"/>
      <c r="M3" s="13" t="s">
        <v>29</v>
      </c>
      <c r="N3" s="14" t="s">
        <v>30</v>
      </c>
      <c r="O3" s="15" t="s">
        <v>31</v>
      </c>
      <c r="P3" s="16"/>
      <c r="Q3" s="17"/>
      <c r="R3" s="17">
        <v>8446609838</v>
      </c>
      <c r="S3" s="7"/>
      <c r="T3" s="7"/>
    </row>
    <row r="4" spans="1:20">
      <c r="A4" s="5">
        <v>3</v>
      </c>
      <c r="B4" s="5" t="s">
        <v>18</v>
      </c>
      <c r="C4" s="5" t="s">
        <v>32</v>
      </c>
      <c r="D4" s="6">
        <v>101980353275</v>
      </c>
      <c r="E4" s="7">
        <v>3315464818</v>
      </c>
      <c r="F4" s="18" t="s">
        <v>33</v>
      </c>
      <c r="G4" s="9" t="e">
        <v>#N/A</v>
      </c>
      <c r="H4" s="5" t="e">
        <f>VLOOKUP(D4,'[1]Google attandance April -26'!$C:$AP,40,0)</f>
        <v>#N/A</v>
      </c>
      <c r="I4" s="10" t="s">
        <v>22</v>
      </c>
      <c r="J4" s="11">
        <v>38182</v>
      </c>
      <c r="K4" s="11">
        <v>46096</v>
      </c>
      <c r="L4" s="12"/>
      <c r="M4" s="13" t="s">
        <v>34</v>
      </c>
      <c r="N4" s="14" t="s">
        <v>35</v>
      </c>
      <c r="O4" s="15" t="s">
        <v>36</v>
      </c>
      <c r="P4" s="16"/>
      <c r="Q4" s="17"/>
      <c r="R4" s="17">
        <v>7666861812</v>
      </c>
      <c r="S4" s="7"/>
      <c r="T4" s="7"/>
    </row>
    <row r="5" spans="1:20">
      <c r="A5" s="5">
        <v>4</v>
      </c>
      <c r="B5" s="5" t="s">
        <v>18</v>
      </c>
      <c r="C5" s="5" t="s">
        <v>37</v>
      </c>
      <c r="D5" s="6">
        <v>101882090529</v>
      </c>
      <c r="E5" s="7">
        <v>3314505091</v>
      </c>
      <c r="F5" s="18" t="s">
        <v>38</v>
      </c>
      <c r="G5" s="9" t="e">
        <v>#N/A</v>
      </c>
      <c r="H5" s="5" t="e">
        <f>VLOOKUP(D5,'[1]Google attandance April -26'!$C:$AP,40,0)</f>
        <v>#N/A</v>
      </c>
      <c r="I5" s="10" t="s">
        <v>22</v>
      </c>
      <c r="J5" s="11">
        <v>38122</v>
      </c>
      <c r="K5" s="11">
        <v>44915</v>
      </c>
      <c r="L5" s="12"/>
      <c r="M5" s="20" t="s">
        <v>23</v>
      </c>
      <c r="N5" s="14" t="s">
        <v>39</v>
      </c>
      <c r="O5" s="15" t="s">
        <v>40</v>
      </c>
      <c r="P5" s="16"/>
      <c r="Q5" s="17"/>
      <c r="R5" s="17" t="s">
        <v>41</v>
      </c>
      <c r="S5" s="7"/>
      <c r="T5" s="7"/>
    </row>
    <row r="6" spans="1:20">
      <c r="A6" s="5">
        <v>5</v>
      </c>
      <c r="B6" s="5" t="s">
        <v>18</v>
      </c>
      <c r="C6" s="5" t="s">
        <v>42</v>
      </c>
      <c r="D6" s="6">
        <v>102043325356</v>
      </c>
      <c r="E6" s="7">
        <v>3316016132</v>
      </c>
      <c r="F6" s="21" t="s">
        <v>43</v>
      </c>
      <c r="G6" s="9" t="s">
        <v>44</v>
      </c>
      <c r="H6" s="5" t="str">
        <f>VLOOKUP(D6,'[1]Google attandance April -26'!$C:$AP,40,0)</f>
        <v>FOU90</v>
      </c>
      <c r="I6" s="10" t="s">
        <v>22</v>
      </c>
      <c r="J6" s="11">
        <v>38717</v>
      </c>
      <c r="K6" s="11">
        <v>45593</v>
      </c>
      <c r="L6" s="12"/>
      <c r="M6" s="13" t="s">
        <v>45</v>
      </c>
      <c r="N6" s="14" t="s">
        <v>46</v>
      </c>
      <c r="O6" s="15" t="s">
        <v>47</v>
      </c>
      <c r="P6" s="16"/>
      <c r="Q6" s="17"/>
      <c r="R6" s="17">
        <v>8261074640</v>
      </c>
      <c r="S6" s="7"/>
      <c r="T6" s="7"/>
    </row>
    <row r="7" spans="1:20">
      <c r="A7" s="5">
        <v>6</v>
      </c>
      <c r="B7" s="5" t="s">
        <v>18</v>
      </c>
      <c r="C7" s="5" t="s">
        <v>48</v>
      </c>
      <c r="D7" s="6">
        <v>101507199941</v>
      </c>
      <c r="E7" s="7">
        <v>3312776193</v>
      </c>
      <c r="F7" s="14" t="s">
        <v>49</v>
      </c>
      <c r="G7" s="9" t="e">
        <v>#N/A</v>
      </c>
      <c r="H7" s="5" t="e">
        <f>VLOOKUP(D7,'[1]Google attandance April -26'!$C:$AP,40,0)</f>
        <v>#N/A</v>
      </c>
      <c r="I7" s="10" t="s">
        <v>22</v>
      </c>
      <c r="J7" s="11">
        <v>35293</v>
      </c>
      <c r="K7" s="11" t="e">
        <v>#N/A</v>
      </c>
      <c r="L7" s="22"/>
      <c r="M7" s="17"/>
      <c r="N7" s="14" t="s">
        <v>50</v>
      </c>
      <c r="O7" s="15" t="s">
        <v>51</v>
      </c>
      <c r="P7" s="23"/>
      <c r="Q7" s="17"/>
      <c r="R7" s="17">
        <v>8263007789</v>
      </c>
      <c r="S7" s="7"/>
      <c r="T7" s="7"/>
    </row>
    <row r="8" spans="1:20">
      <c r="A8" s="5">
        <v>7</v>
      </c>
      <c r="B8" s="5" t="s">
        <v>18</v>
      </c>
      <c r="C8" s="5" t="s">
        <v>52</v>
      </c>
      <c r="D8" s="6">
        <v>101571483695</v>
      </c>
      <c r="E8" s="7">
        <v>3307305901</v>
      </c>
      <c r="F8" s="8" t="s">
        <v>53</v>
      </c>
      <c r="G8" s="9" t="e">
        <v>#N/A</v>
      </c>
      <c r="H8" s="5" t="e">
        <f>VLOOKUP(D8,'[1]Google attandance April -26'!$C:$AP,40,0)</f>
        <v>#N/A</v>
      </c>
      <c r="I8" s="10" t="s">
        <v>22</v>
      </c>
      <c r="J8" s="11">
        <v>35795</v>
      </c>
      <c r="K8" s="11" t="e">
        <v>#N/A</v>
      </c>
      <c r="L8" s="12"/>
      <c r="M8" s="13" t="s">
        <v>34</v>
      </c>
      <c r="N8" s="14" t="s">
        <v>54</v>
      </c>
      <c r="O8" s="15" t="s">
        <v>55</v>
      </c>
      <c r="P8" s="17" t="s">
        <v>56</v>
      </c>
      <c r="Q8" s="17"/>
      <c r="R8" s="17">
        <v>9545906080</v>
      </c>
      <c r="S8" s="7"/>
      <c r="T8" s="7"/>
    </row>
    <row r="9" spans="1:20">
      <c r="A9" s="5">
        <v>8</v>
      </c>
      <c r="B9" s="5" t="s">
        <v>18</v>
      </c>
      <c r="C9" s="5" t="s">
        <v>57</v>
      </c>
      <c r="D9" s="6">
        <v>101509952020</v>
      </c>
      <c r="E9" s="7">
        <v>3311275186</v>
      </c>
      <c r="F9" s="14" t="s">
        <v>58</v>
      </c>
      <c r="G9" s="9" t="s">
        <v>28</v>
      </c>
      <c r="H9" s="5">
        <f>VLOOKUP(D9,'[1]Google attandance April -26'!$C:$AP,40,0)</f>
        <v>0</v>
      </c>
      <c r="I9" s="10" t="s">
        <v>22</v>
      </c>
      <c r="J9" s="11">
        <v>35219</v>
      </c>
      <c r="K9" s="11">
        <v>43749</v>
      </c>
      <c r="L9" s="22">
        <v>262831693261</v>
      </c>
      <c r="M9" s="24" t="s">
        <v>59</v>
      </c>
      <c r="N9" s="14" t="s">
        <v>60</v>
      </c>
      <c r="O9" s="15" t="s">
        <v>61</v>
      </c>
      <c r="P9" s="17" t="s">
        <v>62</v>
      </c>
      <c r="Q9" s="24" t="s">
        <v>63</v>
      </c>
      <c r="R9" s="24">
        <v>9284964447</v>
      </c>
      <c r="S9" s="5"/>
      <c r="T9" s="5"/>
    </row>
    <row r="10" spans="1:20" ht="15">
      <c r="A10" s="5">
        <v>9</v>
      </c>
      <c r="B10" s="5" t="s">
        <v>18</v>
      </c>
      <c r="C10" s="5" t="s">
        <v>64</v>
      </c>
      <c r="D10" s="6">
        <v>102056969235</v>
      </c>
      <c r="E10" s="7">
        <v>3316230356</v>
      </c>
      <c r="F10" s="25" t="s">
        <v>65</v>
      </c>
      <c r="G10" s="9" t="s">
        <v>66</v>
      </c>
      <c r="H10" s="5" t="str">
        <f>VLOOKUP(D10,'[1]Google attandance April -26'!$C:$AP,40,0)</f>
        <v>FOU225</v>
      </c>
      <c r="I10" s="10" t="s">
        <v>22</v>
      </c>
      <c r="J10" s="11">
        <v>38548</v>
      </c>
      <c r="K10" s="11">
        <v>45593</v>
      </c>
      <c r="L10" s="6"/>
      <c r="M10" s="17"/>
      <c r="N10" s="14" t="s">
        <v>67</v>
      </c>
      <c r="O10" s="15" t="s">
        <v>68</v>
      </c>
      <c r="P10" s="26"/>
      <c r="Q10" s="17"/>
      <c r="R10" s="24" t="s">
        <v>41</v>
      </c>
      <c r="S10" s="7"/>
      <c r="T10" s="7"/>
    </row>
    <row r="11" spans="1:20">
      <c r="A11" s="5">
        <v>10</v>
      </c>
      <c r="B11" s="5" t="s">
        <v>18</v>
      </c>
      <c r="C11" s="5" t="s">
        <v>69</v>
      </c>
      <c r="D11" s="6">
        <v>101475240602</v>
      </c>
      <c r="E11" s="7">
        <v>3310877479</v>
      </c>
      <c r="F11" s="14" t="s">
        <v>70</v>
      </c>
      <c r="G11" s="9" t="s">
        <v>71</v>
      </c>
      <c r="H11" s="5" t="str">
        <f>VLOOKUP(D11,'[1]Google attandance April -26'!$C:$AP,40,0)</f>
        <v>FOU21</v>
      </c>
      <c r="I11" s="10" t="s">
        <v>22</v>
      </c>
      <c r="J11" s="11">
        <v>34792</v>
      </c>
      <c r="K11" s="11">
        <v>43623</v>
      </c>
      <c r="L11" s="22">
        <v>308398761379</v>
      </c>
      <c r="M11" s="17" t="s">
        <v>59</v>
      </c>
      <c r="N11" s="14" t="s">
        <v>72</v>
      </c>
      <c r="O11" s="15" t="s">
        <v>73</v>
      </c>
      <c r="P11" s="17"/>
      <c r="Q11" s="17"/>
      <c r="R11" s="17">
        <v>8329136070</v>
      </c>
      <c r="S11" s="7"/>
      <c r="T11" s="7"/>
    </row>
    <row r="12" spans="1:20" s="27" customFormat="1">
      <c r="A12" s="5">
        <v>11</v>
      </c>
      <c r="B12" s="5" t="s">
        <v>18</v>
      </c>
      <c r="C12" s="5" t="s">
        <v>74</v>
      </c>
      <c r="D12" s="6">
        <v>101835374035</v>
      </c>
      <c r="E12" s="7">
        <v>3315576432</v>
      </c>
      <c r="F12" s="18" t="s">
        <v>75</v>
      </c>
      <c r="G12" s="9" t="s">
        <v>28</v>
      </c>
      <c r="H12" s="5" t="str">
        <f>VLOOKUP(D12,'[1]Google attandance April -26'!$C:$AP,40,0)</f>
        <v>FOU70</v>
      </c>
      <c r="I12" s="10" t="s">
        <v>22</v>
      </c>
      <c r="J12" s="11">
        <v>33181</v>
      </c>
      <c r="K12" s="11">
        <v>45967</v>
      </c>
      <c r="L12" s="12"/>
      <c r="M12" s="13" t="s">
        <v>34</v>
      </c>
      <c r="N12" s="14" t="s">
        <v>76</v>
      </c>
      <c r="O12" s="15" t="s">
        <v>77</v>
      </c>
      <c r="P12" s="16"/>
      <c r="Q12" s="17"/>
      <c r="R12" s="17">
        <v>9764665500</v>
      </c>
      <c r="S12" s="7"/>
      <c r="T12" s="7"/>
    </row>
    <row r="13" spans="1:20">
      <c r="A13" s="5">
        <v>12</v>
      </c>
      <c r="B13" s="5" t="s">
        <v>18</v>
      </c>
      <c r="C13" s="5" t="s">
        <v>78</v>
      </c>
      <c r="D13" s="6">
        <v>102025154331</v>
      </c>
      <c r="E13" s="7">
        <v>3315898061</v>
      </c>
      <c r="F13" s="8" t="s">
        <v>79</v>
      </c>
      <c r="G13" s="9" t="s">
        <v>80</v>
      </c>
      <c r="H13" s="5" t="str">
        <f>VLOOKUP(D13,'[1]Google attandance April -26'!$C:$AP,40,0)</f>
        <v>FOU81</v>
      </c>
      <c r="I13" s="10" t="s">
        <v>22</v>
      </c>
      <c r="J13" s="11">
        <v>38619</v>
      </c>
      <c r="K13" s="11">
        <v>45289</v>
      </c>
      <c r="L13" s="12"/>
      <c r="M13" s="13" t="s">
        <v>29</v>
      </c>
      <c r="N13" s="14" t="s">
        <v>81</v>
      </c>
      <c r="O13" s="15" t="s">
        <v>82</v>
      </c>
      <c r="P13" s="16"/>
      <c r="Q13" s="17"/>
      <c r="R13" s="17">
        <v>8379935925</v>
      </c>
      <c r="S13" s="28">
        <v>43739</v>
      </c>
      <c r="T13" s="7"/>
    </row>
    <row r="14" spans="1:20">
      <c r="A14" s="5">
        <v>13</v>
      </c>
      <c r="B14" s="5" t="s">
        <v>18</v>
      </c>
      <c r="C14" s="5" t="s">
        <v>83</v>
      </c>
      <c r="D14" s="6">
        <v>101281737627</v>
      </c>
      <c r="E14" s="7">
        <v>3315008810</v>
      </c>
      <c r="F14" s="8" t="s">
        <v>84</v>
      </c>
      <c r="G14" s="9" t="s">
        <v>44</v>
      </c>
      <c r="H14" s="5" t="str">
        <f>VLOOKUP(D14,'[1]Google attandance April -26'!$C:$AP,40,0)</f>
        <v>FOU79</v>
      </c>
      <c r="I14" s="10" t="s">
        <v>22</v>
      </c>
      <c r="J14" s="11">
        <v>35729</v>
      </c>
      <c r="K14" s="11">
        <v>46031</v>
      </c>
      <c r="L14" s="12">
        <v>935091378815</v>
      </c>
      <c r="M14" s="13" t="s">
        <v>29</v>
      </c>
      <c r="N14" s="14" t="s">
        <v>85</v>
      </c>
      <c r="O14" s="15" t="s">
        <v>86</v>
      </c>
      <c r="P14" s="16"/>
      <c r="Q14" s="17"/>
      <c r="R14" s="17">
        <v>7057492251</v>
      </c>
      <c r="S14" s="28">
        <v>43739</v>
      </c>
      <c r="T14" s="7"/>
    </row>
    <row r="15" spans="1:20" ht="15">
      <c r="A15" s="5">
        <v>14</v>
      </c>
      <c r="B15" s="5" t="s">
        <v>18</v>
      </c>
      <c r="C15" s="5" t="s">
        <v>87</v>
      </c>
      <c r="D15" s="6">
        <v>101996014836</v>
      </c>
      <c r="E15" s="7">
        <v>3317686283</v>
      </c>
      <c r="F15" s="29" t="s">
        <v>88</v>
      </c>
      <c r="G15" s="9" t="e">
        <v>#N/A</v>
      </c>
      <c r="H15" s="5" t="e">
        <f>VLOOKUP(D15,'[1]Google attandance April -26'!$C:$AP,40,0)</f>
        <v>#N/A</v>
      </c>
      <c r="I15" s="10" t="s">
        <v>22</v>
      </c>
      <c r="J15" s="11">
        <v>38254</v>
      </c>
      <c r="K15" s="11" t="e">
        <v>#N/A</v>
      </c>
      <c r="L15" s="30">
        <v>903131254925</v>
      </c>
      <c r="M15" s="17"/>
      <c r="N15" s="17" t="s">
        <v>67</v>
      </c>
      <c r="O15" s="31" t="s">
        <v>89</v>
      </c>
      <c r="P15" s="17" t="s">
        <v>56</v>
      </c>
      <c r="Q15" s="17" t="s">
        <v>90</v>
      </c>
      <c r="R15" s="32">
        <v>9890344331</v>
      </c>
      <c r="S15" s="7"/>
      <c r="T15" s="7"/>
    </row>
    <row r="16" spans="1:20" ht="15">
      <c r="A16" s="5">
        <v>15</v>
      </c>
      <c r="B16" s="5" t="s">
        <v>18</v>
      </c>
      <c r="C16" s="5" t="s">
        <v>91</v>
      </c>
      <c r="D16" s="6">
        <v>102143026061</v>
      </c>
      <c r="E16" s="7">
        <v>3317026055</v>
      </c>
      <c r="F16" s="25" t="s">
        <v>92</v>
      </c>
      <c r="G16" s="9" t="s">
        <v>28</v>
      </c>
      <c r="H16" s="5" t="str">
        <f>VLOOKUP(D16,'[1]Google attandance April -26'!$C:$AP,40,0)</f>
        <v>FOU379</v>
      </c>
      <c r="I16" s="10" t="s">
        <v>22</v>
      </c>
      <c r="J16" s="11">
        <v>32346</v>
      </c>
      <c r="K16" s="11">
        <v>45614</v>
      </c>
      <c r="L16" s="6"/>
      <c r="M16" s="17"/>
      <c r="N16" s="14"/>
      <c r="O16" s="15"/>
      <c r="P16" s="26"/>
      <c r="Q16" s="17"/>
      <c r="R16" s="24" t="s">
        <v>41</v>
      </c>
      <c r="S16" s="7"/>
      <c r="T16" s="7"/>
    </row>
    <row r="17" spans="1:20" ht="15.75">
      <c r="A17" s="5">
        <v>16</v>
      </c>
      <c r="B17" s="5" t="s">
        <v>18</v>
      </c>
      <c r="C17" s="5" t="s">
        <v>93</v>
      </c>
      <c r="D17" s="6">
        <v>101623086404</v>
      </c>
      <c r="E17" s="7">
        <v>3316938981</v>
      </c>
      <c r="F17" s="14" t="s">
        <v>94</v>
      </c>
      <c r="G17" s="9" t="s">
        <v>44</v>
      </c>
      <c r="H17" s="5" t="str">
        <f>VLOOKUP(D17,'[1]Google attandance April -26'!$C:$AP,40,0)</f>
        <v>FOU328</v>
      </c>
      <c r="I17" s="10" t="s">
        <v>22</v>
      </c>
      <c r="J17" s="11">
        <v>34335</v>
      </c>
      <c r="K17" s="11">
        <v>45583</v>
      </c>
      <c r="L17" s="22">
        <v>847613258601</v>
      </c>
      <c r="M17" s="7" t="s">
        <v>95</v>
      </c>
      <c r="N17" s="33" t="s">
        <v>81</v>
      </c>
      <c r="O17" s="34" t="s">
        <v>96</v>
      </c>
      <c r="P17" s="23" t="s">
        <v>97</v>
      </c>
      <c r="Q17" s="17"/>
      <c r="R17" s="17">
        <v>9860018137</v>
      </c>
      <c r="S17" s="28"/>
      <c r="T17" s="7"/>
    </row>
    <row r="18" spans="1:20">
      <c r="A18" s="5">
        <v>17</v>
      </c>
      <c r="B18" s="5" t="s">
        <v>18</v>
      </c>
      <c r="C18" s="5" t="s">
        <v>98</v>
      </c>
      <c r="D18" s="6">
        <v>102028098436</v>
      </c>
      <c r="E18" s="7">
        <v>3315926963</v>
      </c>
      <c r="F18" s="35" t="s">
        <v>99</v>
      </c>
      <c r="G18" s="9" t="s">
        <v>44</v>
      </c>
      <c r="H18" s="5" t="str">
        <f>VLOOKUP(D18,'[1]Google attandance April -26'!$C:$AP,40,0)</f>
        <v>FOU84</v>
      </c>
      <c r="I18" s="10" t="s">
        <v>22</v>
      </c>
      <c r="J18" s="11">
        <v>37513</v>
      </c>
      <c r="K18" s="11">
        <v>45297</v>
      </c>
      <c r="L18" s="12"/>
      <c r="M18" s="13" t="s">
        <v>34</v>
      </c>
      <c r="N18" s="14" t="s">
        <v>100</v>
      </c>
      <c r="O18" s="15" t="s">
        <v>101</v>
      </c>
      <c r="P18" s="16"/>
      <c r="Q18" s="17"/>
      <c r="R18" s="17">
        <v>9923664558</v>
      </c>
      <c r="S18" s="7"/>
      <c r="T18" s="7"/>
    </row>
    <row r="19" spans="1:20" ht="15">
      <c r="A19" s="5">
        <v>18</v>
      </c>
      <c r="B19" s="5" t="s">
        <v>18</v>
      </c>
      <c r="C19" s="5" t="s">
        <v>102</v>
      </c>
      <c r="D19" s="6">
        <v>102062761038</v>
      </c>
      <c r="E19" s="7">
        <v>3316249185</v>
      </c>
      <c r="F19" s="25" t="s">
        <v>103</v>
      </c>
      <c r="G19" s="9" t="s">
        <v>104</v>
      </c>
      <c r="H19" s="5" t="str">
        <f>VLOOKUP(D19,'[1]Google attandance April -26'!$C:$AP,40,0)</f>
        <v>FOU105</v>
      </c>
      <c r="I19" s="10" t="s">
        <v>22</v>
      </c>
      <c r="J19" s="11">
        <v>32699</v>
      </c>
      <c r="K19" s="11">
        <v>45395</v>
      </c>
      <c r="L19" s="6"/>
      <c r="M19" s="17"/>
      <c r="N19" s="14" t="s">
        <v>60</v>
      </c>
      <c r="O19" s="15" t="s">
        <v>105</v>
      </c>
      <c r="P19" s="26"/>
      <c r="Q19" s="17"/>
      <c r="R19" s="24" t="s">
        <v>41</v>
      </c>
      <c r="S19" s="7"/>
      <c r="T19" s="7"/>
    </row>
    <row r="20" spans="1:20">
      <c r="A20" s="5">
        <v>19</v>
      </c>
      <c r="B20" s="5" t="s">
        <v>18</v>
      </c>
      <c r="C20" s="5" t="s">
        <v>106</v>
      </c>
      <c r="D20" s="6">
        <v>101966176359</v>
      </c>
      <c r="E20" s="7">
        <v>3315359696</v>
      </c>
      <c r="F20" s="8" t="s">
        <v>107</v>
      </c>
      <c r="G20" s="9" t="s">
        <v>104</v>
      </c>
      <c r="H20" s="5" t="str">
        <f>VLOOKUP(D20,'[1]Google attandance April -26'!$C:$AP,40,0)</f>
        <v>FOU60</v>
      </c>
      <c r="I20" s="10" t="s">
        <v>22</v>
      </c>
      <c r="J20" s="11">
        <v>29587</v>
      </c>
      <c r="K20" s="11">
        <v>45118</v>
      </c>
      <c r="L20" s="12"/>
      <c r="M20" s="13"/>
      <c r="N20" s="14" t="s">
        <v>108</v>
      </c>
      <c r="O20" s="15" t="s">
        <v>109</v>
      </c>
      <c r="P20" s="16" t="s">
        <v>110</v>
      </c>
      <c r="Q20" s="17" t="s">
        <v>111</v>
      </c>
      <c r="R20" s="17">
        <v>7972886166</v>
      </c>
      <c r="S20" s="28">
        <v>43739</v>
      </c>
      <c r="T20" s="7"/>
    </row>
    <row r="21" spans="1:20">
      <c r="A21" s="5">
        <v>20</v>
      </c>
      <c r="B21" s="5" t="s">
        <v>18</v>
      </c>
      <c r="C21" s="5" t="s">
        <v>112</v>
      </c>
      <c r="D21" s="6">
        <v>101868848739</v>
      </c>
      <c r="E21" s="7">
        <v>3317632048</v>
      </c>
      <c r="F21" s="8" t="s">
        <v>113</v>
      </c>
      <c r="G21" s="9" t="s">
        <v>21</v>
      </c>
      <c r="H21" s="5" t="str">
        <f>VLOOKUP(D21,'[1]Google attandance April -26'!$C:$AP,40,0)</f>
        <v>FOU87</v>
      </c>
      <c r="I21" s="10" t="s">
        <v>22</v>
      </c>
      <c r="J21" s="11">
        <v>37509</v>
      </c>
      <c r="K21" s="11">
        <v>45809</v>
      </c>
      <c r="L21" s="30">
        <v>710326806605</v>
      </c>
      <c r="M21" s="13" t="s">
        <v>34</v>
      </c>
      <c r="N21" s="14" t="s">
        <v>114</v>
      </c>
      <c r="O21" s="15" t="s">
        <v>115</v>
      </c>
      <c r="P21" s="16"/>
      <c r="Q21" s="17"/>
      <c r="R21" s="17">
        <v>9689364876</v>
      </c>
      <c r="S21" s="28">
        <v>43739</v>
      </c>
      <c r="T21" s="7"/>
    </row>
    <row r="22" spans="1:20" s="27" customFormat="1" ht="15">
      <c r="A22" s="5">
        <v>21</v>
      </c>
      <c r="B22" s="5" t="s">
        <v>18</v>
      </c>
      <c r="C22" s="5" t="s">
        <v>116</v>
      </c>
      <c r="D22" s="6">
        <v>102151333482</v>
      </c>
      <c r="E22" s="7">
        <v>3317308461</v>
      </c>
      <c r="F22" s="36" t="s">
        <v>117</v>
      </c>
      <c r="G22" s="9" t="e">
        <v>#N/A</v>
      </c>
      <c r="H22" s="5" t="e">
        <f>VLOOKUP(D22,'[1]Google attandance April -26'!$C:$AP,40,0)</f>
        <v>#N/A</v>
      </c>
      <c r="I22" s="10" t="s">
        <v>22</v>
      </c>
      <c r="J22" s="11">
        <v>37941</v>
      </c>
      <c r="K22" s="11" t="e">
        <v>#N/A</v>
      </c>
      <c r="L22" s="6">
        <v>940049997721</v>
      </c>
      <c r="M22" s="17"/>
      <c r="N22" s="17" t="s">
        <v>100</v>
      </c>
      <c r="O22" s="31" t="s">
        <v>118</v>
      </c>
      <c r="P22" s="17" t="s">
        <v>56</v>
      </c>
      <c r="Q22" s="17"/>
      <c r="R22" s="32">
        <v>9356104680</v>
      </c>
      <c r="S22" s="7"/>
      <c r="T22" s="7"/>
    </row>
    <row r="23" spans="1:20" s="27" customFormat="1">
      <c r="A23" s="5">
        <v>22</v>
      </c>
      <c r="B23" s="5" t="s">
        <v>18</v>
      </c>
      <c r="C23" s="5" t="s">
        <v>119</v>
      </c>
      <c r="D23" s="6">
        <v>101972731570</v>
      </c>
      <c r="E23" s="7">
        <v>3315397620</v>
      </c>
      <c r="F23" s="8" t="s">
        <v>120</v>
      </c>
      <c r="G23" s="9" t="s">
        <v>104</v>
      </c>
      <c r="H23" s="5" t="str">
        <f>VLOOKUP(D23,'[1]Google attandance April -26'!$C:$AP,40,0)</f>
        <v>FOU64</v>
      </c>
      <c r="I23" s="10" t="s">
        <v>22</v>
      </c>
      <c r="J23" s="11">
        <v>38087</v>
      </c>
      <c r="K23" s="11">
        <v>45131</v>
      </c>
      <c r="L23" s="12"/>
      <c r="M23" s="37"/>
      <c r="N23" s="14" t="s">
        <v>121</v>
      </c>
      <c r="O23" s="15" t="s">
        <v>122</v>
      </c>
      <c r="P23" s="16"/>
      <c r="Q23" s="17"/>
      <c r="R23" s="17" t="s">
        <v>41</v>
      </c>
      <c r="S23" s="7"/>
      <c r="T23" s="7"/>
    </row>
    <row r="24" spans="1:20">
      <c r="A24" s="5">
        <v>23</v>
      </c>
      <c r="B24" s="5" t="s">
        <v>18</v>
      </c>
      <c r="C24" s="5" t="s">
        <v>123</v>
      </c>
      <c r="D24" s="6">
        <v>102004077854</v>
      </c>
      <c r="E24" s="7">
        <v>3315667432</v>
      </c>
      <c r="F24" s="8" t="s">
        <v>124</v>
      </c>
      <c r="G24" s="9" t="s">
        <v>71</v>
      </c>
      <c r="H24" s="5" t="str">
        <f>VLOOKUP(D24,'[1]Google attandance April -26'!$C:$AP,40,0)</f>
        <v>FOU73</v>
      </c>
      <c r="I24" s="10" t="s">
        <v>22</v>
      </c>
      <c r="J24" s="11">
        <v>37702</v>
      </c>
      <c r="K24" s="11">
        <v>45215</v>
      </c>
      <c r="L24" s="12"/>
      <c r="M24" s="13" t="s">
        <v>29</v>
      </c>
      <c r="N24" s="14" t="s">
        <v>125</v>
      </c>
      <c r="O24" s="15" t="s">
        <v>126</v>
      </c>
      <c r="P24" s="16"/>
      <c r="Q24" s="17"/>
      <c r="R24" s="17">
        <v>9021885381</v>
      </c>
      <c r="S24" s="5"/>
      <c r="T24" s="5"/>
    </row>
    <row r="25" spans="1:20">
      <c r="A25" s="5">
        <v>24</v>
      </c>
      <c r="B25" s="5" t="s">
        <v>18</v>
      </c>
      <c r="C25" s="5" t="s">
        <v>127</v>
      </c>
      <c r="D25" s="6">
        <v>101410043453</v>
      </c>
      <c r="E25" s="7">
        <v>3314106884</v>
      </c>
      <c r="F25" s="18" t="s">
        <v>128</v>
      </c>
      <c r="G25" s="9" t="s">
        <v>71</v>
      </c>
      <c r="H25" s="5" t="str">
        <f>VLOOKUP(D25,'[1]Google attandance April -26'!$C:$AP,40,0)</f>
        <v>FOU44</v>
      </c>
      <c r="I25" s="10" t="s">
        <v>22</v>
      </c>
      <c r="J25" s="11">
        <v>34953</v>
      </c>
      <c r="K25" s="11">
        <v>44747</v>
      </c>
      <c r="L25" s="12"/>
      <c r="M25" s="13" t="s">
        <v>29</v>
      </c>
      <c r="N25" s="14" t="s">
        <v>129</v>
      </c>
      <c r="O25" s="15" t="s">
        <v>130</v>
      </c>
      <c r="P25" s="16"/>
      <c r="Q25" s="17"/>
      <c r="R25" s="17">
        <v>9766683140</v>
      </c>
      <c r="S25" s="7"/>
      <c r="T25" s="7"/>
    </row>
    <row r="26" spans="1:20">
      <c r="A26" s="5">
        <v>25</v>
      </c>
      <c r="B26" s="5" t="s">
        <v>18</v>
      </c>
      <c r="C26" s="5" t="s">
        <v>131</v>
      </c>
      <c r="D26" s="6">
        <v>101388345766</v>
      </c>
      <c r="E26" s="7">
        <v>3310279715</v>
      </c>
      <c r="F26" s="35" t="s">
        <v>132</v>
      </c>
      <c r="G26" s="9" t="s">
        <v>80</v>
      </c>
      <c r="H26" s="5" t="str">
        <f>VLOOKUP(D26,'[1]Google attandance April -26'!$C:$AP,40,0)</f>
        <v>FOU47</v>
      </c>
      <c r="I26" s="10" t="s">
        <v>22</v>
      </c>
      <c r="J26" s="11">
        <v>36142</v>
      </c>
      <c r="K26" s="11">
        <v>44789</v>
      </c>
      <c r="L26" s="12"/>
      <c r="M26" s="13" t="s">
        <v>34</v>
      </c>
      <c r="N26" s="14" t="s">
        <v>133</v>
      </c>
      <c r="O26" s="15" t="s">
        <v>134</v>
      </c>
      <c r="P26" s="16"/>
      <c r="Q26" s="17"/>
      <c r="R26" s="17">
        <v>7875828739</v>
      </c>
      <c r="S26" s="7"/>
      <c r="T26" s="7"/>
    </row>
    <row r="27" spans="1:20">
      <c r="A27" s="5">
        <v>26</v>
      </c>
      <c r="B27" s="5" t="s">
        <v>18</v>
      </c>
      <c r="C27" s="5" t="s">
        <v>135</v>
      </c>
      <c r="D27" s="6">
        <v>100590315745</v>
      </c>
      <c r="E27" s="7">
        <v>3315291117</v>
      </c>
      <c r="F27" s="35" t="s">
        <v>136</v>
      </c>
      <c r="G27" s="9" t="s">
        <v>44</v>
      </c>
      <c r="H27" s="5" t="str">
        <f>VLOOKUP(D27,'[1]Google attandance April -26'!$C:$AP,40,0)</f>
        <v>FOU61</v>
      </c>
      <c r="I27" s="10" t="s">
        <v>22</v>
      </c>
      <c r="J27" s="11">
        <v>33520</v>
      </c>
      <c r="K27" s="11">
        <v>45103</v>
      </c>
      <c r="L27" s="12"/>
      <c r="M27" s="13" t="s">
        <v>137</v>
      </c>
      <c r="N27" s="14" t="s">
        <v>35</v>
      </c>
      <c r="O27" s="15" t="s">
        <v>138</v>
      </c>
      <c r="P27" s="16"/>
      <c r="Q27" s="17"/>
      <c r="R27" s="17">
        <v>9665424246</v>
      </c>
      <c r="S27" s="5"/>
      <c r="T27" s="5"/>
    </row>
    <row r="28" spans="1:20">
      <c r="A28" s="5">
        <v>27</v>
      </c>
      <c r="B28" s="5" t="s">
        <v>18</v>
      </c>
      <c r="C28" s="5" t="s">
        <v>139</v>
      </c>
      <c r="D28" s="6">
        <v>101391642731</v>
      </c>
      <c r="E28" s="7">
        <v>3310860091</v>
      </c>
      <c r="F28" s="14" t="s">
        <v>140</v>
      </c>
      <c r="G28" s="9" t="s">
        <v>28</v>
      </c>
      <c r="H28" s="5" t="str">
        <f>VLOOKUP(D28,'[1]Google attandance April -26'!$C:$AP,40,0)</f>
        <v>FOU20</v>
      </c>
      <c r="I28" s="10" t="s">
        <v>22</v>
      </c>
      <c r="J28" s="11">
        <v>32874</v>
      </c>
      <c r="K28" s="11">
        <v>43619</v>
      </c>
      <c r="L28" s="22">
        <v>561393563423</v>
      </c>
      <c r="M28" s="17" t="s">
        <v>59</v>
      </c>
      <c r="N28" s="14" t="s">
        <v>129</v>
      </c>
      <c r="O28" s="15" t="s">
        <v>141</v>
      </c>
      <c r="P28" s="17" t="s">
        <v>62</v>
      </c>
      <c r="Q28" s="17" t="s">
        <v>142</v>
      </c>
      <c r="R28" s="17">
        <v>8766534706</v>
      </c>
      <c r="S28" s="7"/>
      <c r="T28" s="7"/>
    </row>
    <row r="29" spans="1:20">
      <c r="A29" s="5">
        <v>28</v>
      </c>
      <c r="B29" s="5" t="s">
        <v>18</v>
      </c>
      <c r="C29" s="5" t="s">
        <v>143</v>
      </c>
      <c r="D29" s="6">
        <v>101951607402</v>
      </c>
      <c r="E29" s="7">
        <v>3315195309</v>
      </c>
      <c r="F29" s="35" t="s">
        <v>144</v>
      </c>
      <c r="G29" s="9" t="s">
        <v>44</v>
      </c>
      <c r="H29" s="5" t="str">
        <f>VLOOKUP(D29,'[1]Google attandance April -26'!$C:$AP,40,0)</f>
        <v>FOU56</v>
      </c>
      <c r="I29" s="10" t="s">
        <v>22</v>
      </c>
      <c r="J29" s="11">
        <v>38449</v>
      </c>
      <c r="K29" s="11">
        <v>45078</v>
      </c>
      <c r="L29" s="12"/>
      <c r="M29" s="13" t="s">
        <v>34</v>
      </c>
      <c r="N29" s="14" t="s">
        <v>145</v>
      </c>
      <c r="O29" s="15" t="s">
        <v>146</v>
      </c>
      <c r="P29" s="16"/>
      <c r="Q29" s="17"/>
      <c r="R29" s="17">
        <v>9420780554</v>
      </c>
      <c r="S29" s="5"/>
      <c r="T29" s="5"/>
    </row>
    <row r="30" spans="1:20" ht="15">
      <c r="A30" s="5">
        <v>29</v>
      </c>
      <c r="B30" s="5" t="s">
        <v>18</v>
      </c>
      <c r="C30" s="5" t="s">
        <v>147</v>
      </c>
      <c r="D30" s="6">
        <v>102204674261</v>
      </c>
      <c r="E30" s="7">
        <v>3317652369</v>
      </c>
      <c r="F30" s="36" t="s">
        <v>148</v>
      </c>
      <c r="G30" s="9" t="e">
        <v>#N/A</v>
      </c>
      <c r="H30" s="5" t="e">
        <f>VLOOKUP(D30,'[1]Google attandance April -26'!$C:$AP,40,0)</f>
        <v>#N/A</v>
      </c>
      <c r="I30" s="10" t="s">
        <v>22</v>
      </c>
      <c r="J30" s="11">
        <v>38668</v>
      </c>
      <c r="K30" s="11" t="e">
        <v>#N/A</v>
      </c>
      <c r="L30" s="30">
        <v>856718993732</v>
      </c>
      <c r="M30" s="17"/>
      <c r="N30" s="17" t="s">
        <v>149</v>
      </c>
      <c r="O30" s="31" t="s">
        <v>150</v>
      </c>
      <c r="P30" s="17" t="s">
        <v>56</v>
      </c>
      <c r="Q30" s="17" t="s">
        <v>151</v>
      </c>
      <c r="R30" s="32">
        <v>9579204285</v>
      </c>
      <c r="S30" s="7"/>
      <c r="T30" s="7"/>
    </row>
    <row r="31" spans="1:20" ht="15">
      <c r="A31" s="5">
        <v>30</v>
      </c>
      <c r="B31" s="5" t="s">
        <v>18</v>
      </c>
      <c r="C31" s="5" t="s">
        <v>152</v>
      </c>
      <c r="D31" s="6">
        <v>102049318682</v>
      </c>
      <c r="E31" s="7">
        <v>3316137391</v>
      </c>
      <c r="F31" s="36" t="s">
        <v>153</v>
      </c>
      <c r="G31" s="9" t="e">
        <v>#N/A</v>
      </c>
      <c r="H31" s="5" t="e">
        <f>VLOOKUP(D31,'[1]Google attandance April -26'!$C:$AP,40,0)</f>
        <v>#N/A</v>
      </c>
      <c r="I31" s="10" t="s">
        <v>22</v>
      </c>
      <c r="J31" s="11">
        <v>36840</v>
      </c>
      <c r="K31" s="11" t="e">
        <v>#N/A</v>
      </c>
      <c r="L31" s="30"/>
      <c r="M31" s="17"/>
      <c r="N31" s="17"/>
      <c r="O31" s="31"/>
      <c r="P31" s="17" t="s">
        <v>56</v>
      </c>
      <c r="Q31" s="17" t="s">
        <v>154</v>
      </c>
      <c r="R31" s="32">
        <v>8459602254</v>
      </c>
      <c r="S31" s="7"/>
      <c r="T31" s="7"/>
    </row>
    <row r="32" spans="1:20" ht="15">
      <c r="A32" s="5">
        <v>31</v>
      </c>
      <c r="B32" s="5" t="s">
        <v>18</v>
      </c>
      <c r="C32" s="5" t="s">
        <v>155</v>
      </c>
      <c r="D32" s="6">
        <v>102053057886</v>
      </c>
      <c r="E32" s="7">
        <v>3316182475</v>
      </c>
      <c r="F32" s="25" t="s">
        <v>156</v>
      </c>
      <c r="G32" s="9" t="s">
        <v>28</v>
      </c>
      <c r="H32" s="5">
        <f>VLOOKUP(D32,'[1]Google attandance April -26'!$C:$AP,40,0)</f>
        <v>0</v>
      </c>
      <c r="I32" s="10" t="s">
        <v>22</v>
      </c>
      <c r="J32" s="11">
        <v>36318</v>
      </c>
      <c r="K32" s="11">
        <v>45372</v>
      </c>
      <c r="L32" s="6"/>
      <c r="M32" s="17"/>
      <c r="N32" s="14" t="s">
        <v>129</v>
      </c>
      <c r="O32" s="15" t="s">
        <v>157</v>
      </c>
      <c r="P32" s="26"/>
      <c r="Q32" s="17"/>
      <c r="R32" s="24" t="s">
        <v>41</v>
      </c>
      <c r="S32" s="7"/>
      <c r="T32" s="7"/>
    </row>
    <row r="33" spans="1:20" ht="15">
      <c r="A33" s="5">
        <v>32</v>
      </c>
      <c r="B33" s="5" t="s">
        <v>18</v>
      </c>
      <c r="C33" s="5" t="s">
        <v>158</v>
      </c>
      <c r="D33" s="6">
        <v>102052667942</v>
      </c>
      <c r="E33" s="7">
        <v>3316185594</v>
      </c>
      <c r="F33" s="25" t="s">
        <v>159</v>
      </c>
      <c r="G33" s="9" t="s">
        <v>71</v>
      </c>
      <c r="H33" s="5" t="str">
        <f>VLOOKUP(D33,'[1]Google attandance April -26'!$C:$AP,40,0)</f>
        <v>FOU97</v>
      </c>
      <c r="I33" s="10" t="s">
        <v>22</v>
      </c>
      <c r="J33" s="11">
        <v>38670</v>
      </c>
      <c r="K33" s="11">
        <v>45373</v>
      </c>
      <c r="L33" s="6"/>
      <c r="M33" s="17"/>
      <c r="N33" s="14" t="s">
        <v>160</v>
      </c>
      <c r="O33" s="15" t="s">
        <v>161</v>
      </c>
      <c r="P33" s="26"/>
      <c r="Q33" s="17"/>
      <c r="R33" s="24" t="s">
        <v>41</v>
      </c>
      <c r="S33" s="7"/>
      <c r="T33" s="7"/>
    </row>
    <row r="34" spans="1:20" ht="15.75">
      <c r="A34" s="5">
        <v>33</v>
      </c>
      <c r="B34" s="5" t="s">
        <v>18</v>
      </c>
      <c r="C34" s="5" t="s">
        <v>162</v>
      </c>
      <c r="D34" s="6">
        <v>101976571122</v>
      </c>
      <c r="E34" s="7">
        <v>3315689420</v>
      </c>
      <c r="F34" s="38" t="s">
        <v>163</v>
      </c>
      <c r="G34" s="9" t="s">
        <v>21</v>
      </c>
      <c r="H34" s="5" t="str">
        <f>VLOOKUP(D34,'[1]Google attandance April -26'!$C:$AP,40,0)</f>
        <v>FOU72</v>
      </c>
      <c r="I34" s="10" t="s">
        <v>22</v>
      </c>
      <c r="J34" s="11">
        <v>29952</v>
      </c>
      <c r="K34" s="11">
        <v>45222</v>
      </c>
      <c r="L34" s="12"/>
      <c r="M34" s="13"/>
      <c r="N34" s="14" t="s">
        <v>50</v>
      </c>
      <c r="O34" s="15" t="s">
        <v>164</v>
      </c>
      <c r="P34" s="16"/>
      <c r="Q34" s="17"/>
      <c r="R34" s="17" t="s">
        <v>41</v>
      </c>
      <c r="S34" s="5"/>
      <c r="T34" s="5"/>
    </row>
    <row r="35" spans="1:20">
      <c r="A35" s="5">
        <v>34</v>
      </c>
      <c r="B35" s="5" t="s">
        <v>18</v>
      </c>
      <c r="C35" s="5" t="s">
        <v>165</v>
      </c>
      <c r="D35" s="6">
        <v>102081665259</v>
      </c>
      <c r="E35" s="7">
        <v>3316492655</v>
      </c>
      <c r="F35" s="25" t="s">
        <v>166</v>
      </c>
      <c r="G35" s="9" t="s">
        <v>80</v>
      </c>
      <c r="H35" s="5" t="str">
        <f>VLOOKUP(D35,'[1]Google attandance April -26'!$C:$AP,40,0)</f>
        <v>FOU222</v>
      </c>
      <c r="I35" s="10" t="s">
        <v>22</v>
      </c>
      <c r="J35" s="11">
        <v>34335</v>
      </c>
      <c r="K35" s="11">
        <v>45457</v>
      </c>
      <c r="L35" s="39"/>
      <c r="M35" s="40"/>
      <c r="N35" s="14"/>
      <c r="O35" s="15"/>
      <c r="P35" s="17"/>
      <c r="Q35" s="17"/>
      <c r="R35" s="32">
        <v>9518721795</v>
      </c>
      <c r="S35" s="7"/>
      <c r="T35" s="7"/>
    </row>
    <row r="36" spans="1:20" ht="15">
      <c r="A36" s="5">
        <v>35</v>
      </c>
      <c r="B36" s="5" t="s">
        <v>18</v>
      </c>
      <c r="C36" s="5" t="s">
        <v>167</v>
      </c>
      <c r="D36" s="6">
        <v>101678665637</v>
      </c>
      <c r="E36" s="7">
        <v>3317510655</v>
      </c>
      <c r="F36" s="25" t="s">
        <v>168</v>
      </c>
      <c r="G36" s="9" t="s">
        <v>104</v>
      </c>
      <c r="H36" s="5" t="str">
        <f>VLOOKUP(D36,'[1]Google attandance April -26'!$C:$AP,40,0)</f>
        <v>FOU461</v>
      </c>
      <c r="I36" s="10" t="s">
        <v>22</v>
      </c>
      <c r="J36" s="11">
        <v>36161</v>
      </c>
      <c r="K36" s="11">
        <v>45772</v>
      </c>
      <c r="L36" s="6"/>
      <c r="M36" s="17"/>
      <c r="N36" s="14"/>
      <c r="O36" s="15"/>
      <c r="P36" s="26"/>
      <c r="Q36" s="17"/>
      <c r="R36" s="24" t="s">
        <v>41</v>
      </c>
      <c r="S36" s="7"/>
      <c r="T36" s="7"/>
    </row>
    <row r="37" spans="1:20">
      <c r="A37" s="5">
        <v>36</v>
      </c>
      <c r="B37" s="5" t="s">
        <v>18</v>
      </c>
      <c r="C37" s="5" t="s">
        <v>169</v>
      </c>
      <c r="D37" s="6">
        <v>100450352070</v>
      </c>
      <c r="E37" s="7">
        <v>3315397405</v>
      </c>
      <c r="F37" s="35" t="s">
        <v>170</v>
      </c>
      <c r="G37" s="9" t="s">
        <v>80</v>
      </c>
      <c r="H37" s="5" t="str">
        <f>VLOOKUP(D37,'[1]Google attandance April -26'!$C:$AP,40,0)</f>
        <v>FOU67</v>
      </c>
      <c r="I37" s="10" t="s">
        <v>22</v>
      </c>
      <c r="J37" s="11">
        <v>35207</v>
      </c>
      <c r="K37" s="11">
        <v>45131</v>
      </c>
      <c r="L37" s="12"/>
      <c r="M37" s="13" t="s">
        <v>34</v>
      </c>
      <c r="N37" s="14" t="s">
        <v>133</v>
      </c>
      <c r="O37" s="15" t="s">
        <v>171</v>
      </c>
      <c r="P37" s="16"/>
      <c r="Q37" s="17"/>
      <c r="R37" s="17">
        <v>8208090143</v>
      </c>
      <c r="S37" s="7"/>
      <c r="T37" s="7"/>
    </row>
    <row r="38" spans="1:20">
      <c r="A38" s="5">
        <v>37</v>
      </c>
      <c r="B38" s="5" t="s">
        <v>18</v>
      </c>
      <c r="C38" s="5" t="s">
        <v>172</v>
      </c>
      <c r="D38" s="6">
        <v>101826609019</v>
      </c>
      <c r="E38" s="7">
        <v>3314020788</v>
      </c>
      <c r="F38" s="18" t="s">
        <v>173</v>
      </c>
      <c r="G38" s="9" t="s">
        <v>71</v>
      </c>
      <c r="H38" s="5" t="str">
        <f>VLOOKUP(D38,'[1]Google attandance April -26'!$C:$AP,40,0)</f>
        <v>FOU42</v>
      </c>
      <c r="I38" s="10" t="s">
        <v>22</v>
      </c>
      <c r="J38" s="11">
        <v>37478</v>
      </c>
      <c r="K38" s="11">
        <v>44725</v>
      </c>
      <c r="L38" s="12"/>
      <c r="M38" s="13" t="s">
        <v>34</v>
      </c>
      <c r="N38" s="14" t="s">
        <v>174</v>
      </c>
      <c r="O38" s="15" t="s">
        <v>175</v>
      </c>
      <c r="P38" s="16"/>
      <c r="Q38" s="17"/>
      <c r="R38" s="17">
        <v>9764653958</v>
      </c>
      <c r="S38" s="7"/>
      <c r="T38" s="7"/>
    </row>
    <row r="39" spans="1:20" s="27" customFormat="1" ht="15">
      <c r="A39" s="5">
        <v>38</v>
      </c>
      <c r="B39" s="5" t="s">
        <v>18</v>
      </c>
      <c r="C39" s="5" t="s">
        <v>176</v>
      </c>
      <c r="D39" s="6">
        <v>102209140373</v>
      </c>
      <c r="E39" s="7">
        <v>3317686370</v>
      </c>
      <c r="F39" s="36" t="s">
        <v>177</v>
      </c>
      <c r="G39" s="9" t="s">
        <v>28</v>
      </c>
      <c r="H39" s="5" t="str">
        <f>VLOOKUP(D39,'[1]Google attandance April -26'!$C:$AP,40,0)</f>
        <v>FOU555</v>
      </c>
      <c r="I39" s="10" t="s">
        <v>22</v>
      </c>
      <c r="J39" s="11">
        <v>32545</v>
      </c>
      <c r="K39" s="11">
        <v>45821</v>
      </c>
      <c r="L39" s="30">
        <v>774606322218</v>
      </c>
      <c r="M39" s="17"/>
      <c r="N39" s="17" t="s">
        <v>85</v>
      </c>
      <c r="O39" s="31" t="s">
        <v>178</v>
      </c>
      <c r="P39" s="17" t="s">
        <v>56</v>
      </c>
      <c r="Q39" s="17" t="s">
        <v>179</v>
      </c>
      <c r="R39" s="32">
        <v>9766770626</v>
      </c>
      <c r="S39" s="7"/>
      <c r="T39" s="7"/>
    </row>
    <row r="40" spans="1:20" s="27" customFormat="1">
      <c r="A40" s="5">
        <v>39</v>
      </c>
      <c r="B40" s="5" t="s">
        <v>18</v>
      </c>
      <c r="C40" s="5" t="s">
        <v>180</v>
      </c>
      <c r="D40" s="6">
        <v>101969547233</v>
      </c>
      <c r="E40" s="7">
        <v>3315368099</v>
      </c>
      <c r="F40" s="35" t="s">
        <v>181</v>
      </c>
      <c r="G40" s="9" t="s">
        <v>44</v>
      </c>
      <c r="H40" s="5" t="str">
        <f>VLOOKUP(D40,'[1]Google attandance April -26'!$C:$AP,40,0)</f>
        <v>FOU63</v>
      </c>
      <c r="I40" s="10" t="s">
        <v>22</v>
      </c>
      <c r="J40" s="11">
        <v>37373</v>
      </c>
      <c r="K40" s="11">
        <v>45122</v>
      </c>
      <c r="L40" s="12"/>
      <c r="M40" s="13" t="s">
        <v>45</v>
      </c>
      <c r="N40" s="14" t="s">
        <v>182</v>
      </c>
      <c r="O40" s="15" t="s">
        <v>183</v>
      </c>
      <c r="P40" s="16"/>
      <c r="Q40" s="17"/>
      <c r="R40" s="17">
        <v>7083417194</v>
      </c>
      <c r="S40" s="5"/>
      <c r="T40" s="5"/>
    </row>
    <row r="41" spans="1:20" ht="15">
      <c r="A41" s="5">
        <v>40</v>
      </c>
      <c r="B41" s="5" t="s">
        <v>18</v>
      </c>
      <c r="C41" s="5" t="s">
        <v>184</v>
      </c>
      <c r="D41" s="6">
        <v>102190249257</v>
      </c>
      <c r="E41" s="7">
        <v>3317510361</v>
      </c>
      <c r="F41" s="36" t="s">
        <v>185</v>
      </c>
      <c r="G41" s="9" t="s">
        <v>28</v>
      </c>
      <c r="H41" s="5" t="str">
        <f>VLOOKUP(D41,'[1]Google attandance April -26'!$C:$AP,40,0)</f>
        <v>FOU459</v>
      </c>
      <c r="I41" s="10" t="s">
        <v>22</v>
      </c>
      <c r="J41" s="11">
        <v>39036</v>
      </c>
      <c r="K41" s="11">
        <v>45772</v>
      </c>
      <c r="L41" s="30">
        <v>495395964586</v>
      </c>
      <c r="M41" s="17"/>
      <c r="N41" s="17" t="s">
        <v>160</v>
      </c>
      <c r="O41" s="31" t="s">
        <v>186</v>
      </c>
      <c r="P41" s="17" t="s">
        <v>56</v>
      </c>
      <c r="Q41" s="17" t="s">
        <v>187</v>
      </c>
      <c r="R41" s="32">
        <v>8767709468</v>
      </c>
      <c r="S41" s="7"/>
      <c r="T41" s="7"/>
    </row>
    <row r="42" spans="1:20" ht="15">
      <c r="A42" s="5">
        <v>41</v>
      </c>
      <c r="B42" s="5" t="s">
        <v>18</v>
      </c>
      <c r="C42" s="5" t="s">
        <v>188</v>
      </c>
      <c r="D42" s="6">
        <v>102053057864</v>
      </c>
      <c r="E42" s="7">
        <v>3317629009</v>
      </c>
      <c r="F42" s="36" t="s">
        <v>189</v>
      </c>
      <c r="G42" s="9" t="s">
        <v>190</v>
      </c>
      <c r="H42" s="5" t="str">
        <f>VLOOKUP(D42,'[1]Google attandance April -26'!$C:$AP,40,0)</f>
        <v>FOU534</v>
      </c>
      <c r="I42" s="10" t="s">
        <v>22</v>
      </c>
      <c r="J42" s="11">
        <v>38708</v>
      </c>
      <c r="K42" s="11">
        <v>45808</v>
      </c>
      <c r="L42" s="30">
        <v>639012170118</v>
      </c>
      <c r="M42" s="17"/>
      <c r="N42" s="17" t="s">
        <v>191</v>
      </c>
      <c r="O42" s="31" t="s">
        <v>192</v>
      </c>
      <c r="P42" s="17" t="s">
        <v>56</v>
      </c>
      <c r="Q42" s="17" t="s">
        <v>193</v>
      </c>
      <c r="R42" s="32">
        <v>9022557952</v>
      </c>
      <c r="S42" s="7"/>
      <c r="T42" s="7"/>
    </row>
    <row r="43" spans="1:20">
      <c r="A43" s="5">
        <v>42</v>
      </c>
      <c r="B43" s="5" t="s">
        <v>18</v>
      </c>
      <c r="C43" s="5" t="s">
        <v>194</v>
      </c>
      <c r="D43" s="6">
        <v>101603294918</v>
      </c>
      <c r="E43" s="7">
        <v>3312027406</v>
      </c>
      <c r="F43" s="18" t="s">
        <v>195</v>
      </c>
      <c r="G43" s="9" t="s">
        <v>71</v>
      </c>
      <c r="H43" s="5" t="str">
        <f>VLOOKUP(D43,'[1]Google attandance April -26'!$C:$AP,40,0)</f>
        <v>FOU43</v>
      </c>
      <c r="I43" s="10" t="s">
        <v>22</v>
      </c>
      <c r="J43" s="11">
        <v>35947</v>
      </c>
      <c r="K43" s="11">
        <v>44721</v>
      </c>
      <c r="L43" s="12"/>
      <c r="M43" s="13" t="s">
        <v>34</v>
      </c>
      <c r="N43" s="14" t="s">
        <v>133</v>
      </c>
      <c r="O43" s="15" t="s">
        <v>196</v>
      </c>
      <c r="P43" s="16"/>
      <c r="Q43" s="17"/>
      <c r="R43" s="17">
        <v>7264028960</v>
      </c>
      <c r="S43" s="7"/>
      <c r="T43" s="7"/>
    </row>
    <row r="44" spans="1:20">
      <c r="A44" s="5">
        <v>43</v>
      </c>
      <c r="B44" s="5" t="s">
        <v>18</v>
      </c>
      <c r="C44" s="5" t="s">
        <v>197</v>
      </c>
      <c r="D44" s="6">
        <v>101520450548</v>
      </c>
      <c r="E44" s="7">
        <v>3311362160</v>
      </c>
      <c r="F44" s="14" t="s">
        <v>198</v>
      </c>
      <c r="G44" s="9" t="s">
        <v>28</v>
      </c>
      <c r="H44" s="5" t="str">
        <f>VLOOKUP(D44,'[1]Google attandance April -26'!$C:$AP,40,0)</f>
        <v>FOU51</v>
      </c>
      <c r="I44" s="10" t="s">
        <v>22</v>
      </c>
      <c r="J44" s="11">
        <v>32525</v>
      </c>
      <c r="K44" s="11">
        <v>43781</v>
      </c>
      <c r="L44" s="22">
        <v>427339182821</v>
      </c>
      <c r="M44" s="24" t="s">
        <v>59</v>
      </c>
      <c r="N44" s="14" t="s">
        <v>85</v>
      </c>
      <c r="O44" s="15" t="s">
        <v>199</v>
      </c>
      <c r="P44" s="17" t="s">
        <v>62</v>
      </c>
      <c r="Q44" s="24" t="s">
        <v>200</v>
      </c>
      <c r="R44" s="24">
        <v>9673983396</v>
      </c>
      <c r="S44" s="5"/>
      <c r="T44" s="5"/>
    </row>
    <row r="45" spans="1:20">
      <c r="A45" s="5">
        <v>44</v>
      </c>
      <c r="B45" s="5" t="s">
        <v>18</v>
      </c>
      <c r="C45" s="5" t="s">
        <v>201</v>
      </c>
      <c r="D45" s="6">
        <v>101818174092</v>
      </c>
      <c r="E45" s="7">
        <v>3313938725</v>
      </c>
      <c r="F45" s="18" t="s">
        <v>202</v>
      </c>
      <c r="G45" s="9" t="s">
        <v>71</v>
      </c>
      <c r="H45" s="5" t="str">
        <f>VLOOKUP(D45,'[1]Google attandance April -26'!$C:$AP,40,0)</f>
        <v>FOU40</v>
      </c>
      <c r="I45" s="10" t="s">
        <v>22</v>
      </c>
      <c r="J45" s="11">
        <v>37053</v>
      </c>
      <c r="K45" s="11">
        <v>44706</v>
      </c>
      <c r="L45" s="12"/>
      <c r="M45" s="41" t="s">
        <v>203</v>
      </c>
      <c r="N45" s="14" t="s">
        <v>204</v>
      </c>
      <c r="O45" s="15" t="s">
        <v>205</v>
      </c>
      <c r="P45" s="16"/>
      <c r="Q45" s="17"/>
      <c r="R45" s="17">
        <v>7757921530</v>
      </c>
      <c r="S45" s="7"/>
      <c r="T45" s="7"/>
    </row>
    <row r="46" spans="1:20">
      <c r="A46" s="5">
        <v>45</v>
      </c>
      <c r="B46" s="5" t="s">
        <v>18</v>
      </c>
      <c r="C46" s="5" t="s">
        <v>206</v>
      </c>
      <c r="D46" s="6">
        <v>101373078654</v>
      </c>
      <c r="E46" s="7">
        <v>3311531000</v>
      </c>
      <c r="F46" s="14" t="s">
        <v>207</v>
      </c>
      <c r="G46" s="9" t="s">
        <v>28</v>
      </c>
      <c r="H46" s="5" t="str">
        <f>VLOOKUP(D46,'[1]Google attandance April -26'!$C:$AP,40,0)</f>
        <v>FOU27</v>
      </c>
      <c r="I46" s="10" t="s">
        <v>22</v>
      </c>
      <c r="J46" s="11">
        <v>36161</v>
      </c>
      <c r="K46" s="11">
        <v>43834</v>
      </c>
      <c r="L46" s="22">
        <v>989717191783</v>
      </c>
      <c r="M46" s="24" t="s">
        <v>208</v>
      </c>
      <c r="N46" s="14" t="s">
        <v>100</v>
      </c>
      <c r="O46" s="15" t="s">
        <v>209</v>
      </c>
      <c r="P46" s="17" t="s">
        <v>62</v>
      </c>
      <c r="Q46" s="24" t="s">
        <v>210</v>
      </c>
      <c r="R46" s="17">
        <v>9373826700</v>
      </c>
      <c r="S46" s="5"/>
      <c r="T46" s="5"/>
    </row>
    <row r="47" spans="1:20" ht="15">
      <c r="A47" s="5">
        <v>46</v>
      </c>
      <c r="B47" s="5" t="s">
        <v>18</v>
      </c>
      <c r="C47" s="5" t="s">
        <v>211</v>
      </c>
      <c r="D47" s="6">
        <v>102006995460</v>
      </c>
      <c r="E47" s="7">
        <v>3315640897</v>
      </c>
      <c r="F47" s="36" t="s">
        <v>212</v>
      </c>
      <c r="G47" s="9" t="e">
        <v>#N/A</v>
      </c>
      <c r="H47" s="5" t="e">
        <f>VLOOKUP(D47,'[1]Google attandance April -26'!$C:$AP,40,0)</f>
        <v>#N/A</v>
      </c>
      <c r="I47" s="10" t="s">
        <v>22</v>
      </c>
      <c r="J47" s="11" t="e">
        <v>#N/A</v>
      </c>
      <c r="K47" s="11" t="e">
        <v>#N/A</v>
      </c>
      <c r="L47" s="6"/>
      <c r="M47" s="17"/>
      <c r="N47" s="14" t="s">
        <v>100</v>
      </c>
      <c r="O47" s="42" t="s">
        <v>213</v>
      </c>
      <c r="P47" s="17" t="s">
        <v>56</v>
      </c>
      <c r="Q47" s="17"/>
      <c r="R47" s="32">
        <v>7498593269</v>
      </c>
      <c r="S47" s="7"/>
      <c r="T47" s="7"/>
    </row>
    <row r="48" spans="1:20">
      <c r="A48" s="5">
        <v>47</v>
      </c>
      <c r="B48" s="5" t="s">
        <v>18</v>
      </c>
      <c r="C48" s="5" t="s">
        <v>214</v>
      </c>
      <c r="D48" s="6">
        <v>102086533444</v>
      </c>
      <c r="E48" s="7">
        <v>3316550718</v>
      </c>
      <c r="F48" s="25" t="s">
        <v>215</v>
      </c>
      <c r="G48" s="9" t="s">
        <v>28</v>
      </c>
      <c r="H48" s="5" t="str">
        <f>VLOOKUP(D48,'[1]Google attandance April -26'!$C:$AP,40,0)</f>
        <v>FOU208</v>
      </c>
      <c r="I48" s="10" t="s">
        <v>22</v>
      </c>
      <c r="J48" s="11">
        <v>37647</v>
      </c>
      <c r="K48" s="11">
        <v>45471</v>
      </c>
      <c r="L48" s="43"/>
      <c r="M48" s="44"/>
      <c r="N48" s="14" t="s">
        <v>100</v>
      </c>
      <c r="O48" s="15" t="s">
        <v>216</v>
      </c>
      <c r="P48" s="17"/>
      <c r="Q48" s="17"/>
      <c r="R48" s="32">
        <v>9529226377</v>
      </c>
      <c r="S48" s="7"/>
      <c r="T48" s="7"/>
    </row>
    <row r="49" spans="1:20">
      <c r="A49" s="5">
        <v>48</v>
      </c>
      <c r="B49" s="5" t="s">
        <v>18</v>
      </c>
      <c r="C49" s="5" t="s">
        <v>217</v>
      </c>
      <c r="D49" s="6">
        <v>102120964651</v>
      </c>
      <c r="E49" s="7">
        <v>3316853397</v>
      </c>
      <c r="F49" s="25" t="s">
        <v>218</v>
      </c>
      <c r="G49" s="9" t="s">
        <v>71</v>
      </c>
      <c r="H49" s="5" t="str">
        <f>VLOOKUP(D49,'[1]Google attandance April -26'!$C:$AP,40,0)</f>
        <v>FOU294</v>
      </c>
      <c r="I49" s="10" t="s">
        <v>22</v>
      </c>
      <c r="J49" s="11">
        <v>38874</v>
      </c>
      <c r="K49" s="11">
        <v>45559</v>
      </c>
      <c r="L49" s="6">
        <v>246280268756</v>
      </c>
      <c r="M49" s="17"/>
      <c r="N49" s="14" t="s">
        <v>39</v>
      </c>
      <c r="O49" s="15" t="s">
        <v>219</v>
      </c>
      <c r="P49" s="17"/>
      <c r="Q49" s="17"/>
      <c r="R49" s="32">
        <v>8830179924</v>
      </c>
      <c r="S49" s="7"/>
      <c r="T49" s="7"/>
    </row>
    <row r="50" spans="1:20">
      <c r="A50" s="5">
        <v>49</v>
      </c>
      <c r="B50" s="5" t="s">
        <v>18</v>
      </c>
      <c r="C50" s="5" t="s">
        <v>220</v>
      </c>
      <c r="D50" s="6">
        <v>101428896909</v>
      </c>
      <c r="E50" s="7">
        <v>3315285176</v>
      </c>
      <c r="F50" s="35" t="s">
        <v>221</v>
      </c>
      <c r="G50" s="9" t="s">
        <v>21</v>
      </c>
      <c r="H50" s="5" t="str">
        <f>VLOOKUP(D50,'[1]Google attandance April -26'!$C:$AP,40,0)</f>
        <v>FOU58</v>
      </c>
      <c r="I50" s="10" t="s">
        <v>22</v>
      </c>
      <c r="J50" s="11">
        <v>34542</v>
      </c>
      <c r="K50" s="11">
        <v>45101</v>
      </c>
      <c r="L50" s="12"/>
      <c r="M50" s="13" t="s">
        <v>34</v>
      </c>
      <c r="N50" s="14" t="s">
        <v>222</v>
      </c>
      <c r="O50" s="15" t="s">
        <v>223</v>
      </c>
      <c r="P50" s="16"/>
      <c r="Q50" s="17"/>
      <c r="R50" s="17">
        <v>7030471801</v>
      </c>
      <c r="S50" s="5"/>
      <c r="T50" s="5"/>
    </row>
    <row r="51" spans="1:20" ht="15">
      <c r="A51" s="5">
        <v>50</v>
      </c>
      <c r="B51" s="5" t="s">
        <v>18</v>
      </c>
      <c r="C51" s="5" t="s">
        <v>224</v>
      </c>
      <c r="D51" s="6">
        <v>102066098989</v>
      </c>
      <c r="E51" s="7">
        <v>3317652679</v>
      </c>
      <c r="F51" s="36" t="s">
        <v>225</v>
      </c>
      <c r="G51" s="9" t="e">
        <v>#N/A</v>
      </c>
      <c r="H51" s="5" t="e">
        <f>VLOOKUP(D51,'[1]Google attandance April -26'!$C:$AP,40,0)</f>
        <v>#N/A</v>
      </c>
      <c r="I51" s="10" t="s">
        <v>22</v>
      </c>
      <c r="J51" s="11">
        <v>31514</v>
      </c>
      <c r="K51" s="11" t="e">
        <v>#N/A</v>
      </c>
      <c r="L51" s="30">
        <v>307802139080</v>
      </c>
      <c r="M51" s="17" t="s">
        <v>29</v>
      </c>
      <c r="N51" s="17" t="s">
        <v>60</v>
      </c>
      <c r="O51" s="31" t="s">
        <v>226</v>
      </c>
      <c r="P51" s="17" t="s">
        <v>56</v>
      </c>
      <c r="Q51" s="17" t="s">
        <v>227</v>
      </c>
      <c r="R51" s="32">
        <v>8888143870</v>
      </c>
      <c r="S51" s="7"/>
      <c r="T51" s="7"/>
    </row>
    <row r="52" spans="1:20" ht="15">
      <c r="A52" s="5">
        <v>51</v>
      </c>
      <c r="B52" s="5" t="s">
        <v>18</v>
      </c>
      <c r="C52" s="5" t="s">
        <v>228</v>
      </c>
      <c r="D52" s="6">
        <v>102032852951</v>
      </c>
      <c r="E52" s="7">
        <v>3317057005</v>
      </c>
      <c r="F52" s="36" t="s">
        <v>229</v>
      </c>
      <c r="G52" s="9" t="s">
        <v>104</v>
      </c>
      <c r="H52" s="5" t="str">
        <f>VLOOKUP(D52,'[1]Google attandance April -26'!$C:$AP,40,0)</f>
        <v>FOU375</v>
      </c>
      <c r="I52" s="10" t="s">
        <v>22</v>
      </c>
      <c r="J52" s="11">
        <v>34130</v>
      </c>
      <c r="K52" s="11">
        <v>45797</v>
      </c>
      <c r="L52" s="7"/>
      <c r="M52" s="17"/>
      <c r="N52" s="17"/>
      <c r="O52" s="17"/>
      <c r="P52" s="17" t="s">
        <v>56</v>
      </c>
      <c r="Q52" s="17"/>
      <c r="R52" s="32" t="s">
        <v>41</v>
      </c>
      <c r="S52" s="7"/>
      <c r="T52" s="7"/>
    </row>
    <row r="53" spans="1:20">
      <c r="A53" s="5">
        <v>52</v>
      </c>
      <c r="B53" s="5" t="s">
        <v>18</v>
      </c>
      <c r="C53" s="5" t="s">
        <v>230</v>
      </c>
      <c r="D53" s="6">
        <v>101951607397</v>
      </c>
      <c r="E53" s="7">
        <v>3315199534</v>
      </c>
      <c r="F53" s="18" t="s">
        <v>231</v>
      </c>
      <c r="G53" s="9" t="s">
        <v>21</v>
      </c>
      <c r="H53" s="5" t="str">
        <f>VLOOKUP(D53,'[1]Google attandance April -26'!$C:$AP,40,0)</f>
        <v>FOU52</v>
      </c>
      <c r="I53" s="10" t="s">
        <v>22</v>
      </c>
      <c r="J53" s="11">
        <v>36219</v>
      </c>
      <c r="K53" s="11">
        <v>45079</v>
      </c>
      <c r="L53" s="12"/>
      <c r="M53" s="13" t="s">
        <v>34</v>
      </c>
      <c r="N53" s="14" t="s">
        <v>133</v>
      </c>
      <c r="O53" s="15" t="s">
        <v>232</v>
      </c>
      <c r="P53" s="16"/>
      <c r="Q53" s="17"/>
      <c r="R53" s="17">
        <v>9834714388</v>
      </c>
      <c r="S53" s="28">
        <v>43739</v>
      </c>
      <c r="T53" s="7"/>
    </row>
    <row r="54" spans="1:20">
      <c r="A54" s="5">
        <v>53</v>
      </c>
      <c r="B54" s="5" t="s">
        <v>18</v>
      </c>
      <c r="C54" s="5" t="s">
        <v>233</v>
      </c>
      <c r="D54" s="6">
        <v>102090872186</v>
      </c>
      <c r="E54" s="7">
        <v>3316481452</v>
      </c>
      <c r="F54" s="25" t="s">
        <v>234</v>
      </c>
      <c r="G54" s="9" t="s">
        <v>44</v>
      </c>
      <c r="H54" s="5" t="str">
        <f>VLOOKUP(D54,'[1]Google attandance April -26'!$C:$AP,40,0)</f>
        <v>FOU277</v>
      </c>
      <c r="I54" s="10" t="s">
        <v>22</v>
      </c>
      <c r="J54" s="11">
        <v>38309</v>
      </c>
      <c r="K54" s="11">
        <v>45547</v>
      </c>
      <c r="L54" s="6">
        <v>465662077446</v>
      </c>
      <c r="M54" s="17"/>
      <c r="N54" s="14" t="s">
        <v>114</v>
      </c>
      <c r="O54" s="15" t="s">
        <v>235</v>
      </c>
      <c r="P54" s="17"/>
      <c r="Q54" s="17"/>
      <c r="R54" s="32">
        <v>8275661223</v>
      </c>
      <c r="S54" s="7"/>
      <c r="T54" s="7"/>
    </row>
    <row r="55" spans="1:20" ht="15">
      <c r="A55" s="5">
        <v>54</v>
      </c>
      <c r="B55" s="5" t="s">
        <v>18</v>
      </c>
      <c r="C55" s="5" t="s">
        <v>236</v>
      </c>
      <c r="D55" s="6">
        <v>102202210834</v>
      </c>
      <c r="E55" s="7">
        <v>3317626606</v>
      </c>
      <c r="F55" s="36" t="s">
        <v>237</v>
      </c>
      <c r="G55" s="9" t="e">
        <v>#N/A</v>
      </c>
      <c r="H55" s="5" t="e">
        <f>VLOOKUP(D55,'[1]Google attandance April -26'!$C:$AP,40,0)</f>
        <v>#N/A</v>
      </c>
      <c r="I55" s="10" t="s">
        <v>22</v>
      </c>
      <c r="J55" s="11">
        <v>38923</v>
      </c>
      <c r="K55" s="11" t="e">
        <v>#N/A</v>
      </c>
      <c r="L55" s="30">
        <v>254178062356</v>
      </c>
      <c r="M55" s="17"/>
      <c r="N55" s="17" t="s">
        <v>238</v>
      </c>
      <c r="O55" s="31" t="s">
        <v>239</v>
      </c>
      <c r="P55" s="17" t="s">
        <v>56</v>
      </c>
      <c r="Q55" s="17" t="s">
        <v>240</v>
      </c>
      <c r="R55" s="32">
        <v>8551087047</v>
      </c>
      <c r="S55" s="7"/>
      <c r="T55" s="7"/>
    </row>
    <row r="56" spans="1:20">
      <c r="A56" s="5">
        <v>55</v>
      </c>
      <c r="B56" s="5" t="s">
        <v>18</v>
      </c>
      <c r="C56" s="5" t="s">
        <v>241</v>
      </c>
      <c r="D56" s="6">
        <v>101522138160</v>
      </c>
      <c r="E56" s="7">
        <v>3311953721</v>
      </c>
      <c r="F56" s="14" t="s">
        <v>242</v>
      </c>
      <c r="G56" s="9" t="s">
        <v>28</v>
      </c>
      <c r="H56" s="5" t="str">
        <f>VLOOKUP(D56,'[1]Google attandance April -26'!$C:$AP,40,0)</f>
        <v>FOU31</v>
      </c>
      <c r="I56" s="10" t="s">
        <v>22</v>
      </c>
      <c r="J56" s="11">
        <v>28978</v>
      </c>
      <c r="K56" s="11">
        <v>44048</v>
      </c>
      <c r="L56" s="22">
        <v>990975498125</v>
      </c>
      <c r="M56" s="7" t="s">
        <v>95</v>
      </c>
      <c r="N56" s="14" t="s">
        <v>133</v>
      </c>
      <c r="O56" s="15" t="s">
        <v>243</v>
      </c>
      <c r="P56" s="17" t="s">
        <v>62</v>
      </c>
      <c r="Q56" s="17" t="s">
        <v>62</v>
      </c>
      <c r="R56" s="17">
        <v>9767471363</v>
      </c>
      <c r="S56" s="28"/>
      <c r="T56" s="7"/>
    </row>
    <row r="57" spans="1:20" ht="15">
      <c r="A57" s="5">
        <v>56</v>
      </c>
      <c r="B57" s="5" t="s">
        <v>18</v>
      </c>
      <c r="C57" s="5" t="s">
        <v>244</v>
      </c>
      <c r="D57" s="6">
        <v>101084612898</v>
      </c>
      <c r="E57" s="7">
        <v>3317595184</v>
      </c>
      <c r="F57" s="25" t="s">
        <v>245</v>
      </c>
      <c r="G57" s="9" t="s">
        <v>28</v>
      </c>
      <c r="H57" s="5" t="str">
        <f>VLOOKUP(D57,'[1]Google attandance April -26'!$C:$AP,40,0)</f>
        <v>FOU514</v>
      </c>
      <c r="I57" s="10" t="s">
        <v>22</v>
      </c>
      <c r="J57" s="11">
        <v>32509</v>
      </c>
      <c r="K57" s="11">
        <v>45799</v>
      </c>
      <c r="L57" s="6"/>
      <c r="M57" s="17"/>
      <c r="N57" s="14"/>
      <c r="O57" s="15"/>
      <c r="P57" s="26"/>
      <c r="Q57" s="17"/>
      <c r="R57" s="24" t="s">
        <v>41</v>
      </c>
      <c r="S57" s="7"/>
      <c r="T57" s="7"/>
    </row>
    <row r="58" spans="1:20" ht="15">
      <c r="A58" s="5">
        <v>57</v>
      </c>
      <c r="B58" s="5" t="s">
        <v>18</v>
      </c>
      <c r="C58" s="5" t="s">
        <v>246</v>
      </c>
      <c r="D58" s="6">
        <v>101732689727</v>
      </c>
      <c r="E58" s="7">
        <v>3316185376</v>
      </c>
      <c r="F58" s="25" t="s">
        <v>247</v>
      </c>
      <c r="G58" s="9" t="s">
        <v>28</v>
      </c>
      <c r="H58" s="5" t="str">
        <f>VLOOKUP(D58,'[1]Google attandance April -26'!$C:$AP,40,0)</f>
        <v>FOU94</v>
      </c>
      <c r="I58" s="10" t="s">
        <v>22</v>
      </c>
      <c r="J58" s="11">
        <v>37473</v>
      </c>
      <c r="K58" s="11">
        <v>46037</v>
      </c>
      <c r="L58" s="6"/>
      <c r="M58" s="17"/>
      <c r="N58" s="14"/>
      <c r="O58" s="15"/>
      <c r="P58" s="26"/>
      <c r="Q58" s="17"/>
      <c r="R58" s="24" t="s">
        <v>41</v>
      </c>
      <c r="S58" s="7"/>
      <c r="T58" s="7"/>
    </row>
    <row r="59" spans="1:20">
      <c r="A59" s="5">
        <v>58</v>
      </c>
      <c r="B59" s="5" t="s">
        <v>18</v>
      </c>
      <c r="C59" s="5" t="s">
        <v>248</v>
      </c>
      <c r="D59" s="6">
        <v>101902123648</v>
      </c>
      <c r="E59" s="7">
        <v>3315199679</v>
      </c>
      <c r="F59" s="35" t="s">
        <v>249</v>
      </c>
      <c r="G59" s="9" t="s">
        <v>80</v>
      </c>
      <c r="H59" s="5" t="str">
        <f>VLOOKUP(D59,'[1]Google attandance April -26'!$C:$AP,40,0)</f>
        <v>FOU68</v>
      </c>
      <c r="I59" s="10" t="s">
        <v>22</v>
      </c>
      <c r="J59" s="11">
        <v>37820</v>
      </c>
      <c r="K59" s="11">
        <v>45079</v>
      </c>
      <c r="L59" s="12"/>
      <c r="M59" s="13" t="s">
        <v>34</v>
      </c>
      <c r="N59" s="14" t="s">
        <v>133</v>
      </c>
      <c r="O59" s="15" t="s">
        <v>250</v>
      </c>
      <c r="P59" s="16"/>
      <c r="Q59" s="17"/>
      <c r="R59" s="17" t="s">
        <v>41</v>
      </c>
      <c r="S59" s="7"/>
      <c r="T59" s="7"/>
    </row>
    <row r="60" spans="1:20" ht="15">
      <c r="A60" s="5">
        <v>59</v>
      </c>
      <c r="B60" s="5" t="s">
        <v>18</v>
      </c>
      <c r="C60" s="5" t="s">
        <v>251</v>
      </c>
      <c r="D60" s="6">
        <v>102062806876</v>
      </c>
      <c r="E60" s="7">
        <v>3316290554</v>
      </c>
      <c r="F60" s="25" t="s">
        <v>252</v>
      </c>
      <c r="G60" s="9" t="s">
        <v>190</v>
      </c>
      <c r="H60" s="5" t="str">
        <f>VLOOKUP(D60,'[1]Google attandance April -26'!$C:$AP,40,0)</f>
        <v>FOU107</v>
      </c>
      <c r="I60" s="10" t="s">
        <v>22</v>
      </c>
      <c r="J60" s="11">
        <v>38467</v>
      </c>
      <c r="K60" s="11">
        <v>45409</v>
      </c>
      <c r="L60" s="6"/>
      <c r="M60" s="17"/>
      <c r="N60" s="14" t="s">
        <v>253</v>
      </c>
      <c r="O60" s="15" t="s">
        <v>254</v>
      </c>
      <c r="P60" s="26"/>
      <c r="Q60" s="17"/>
      <c r="R60" s="24" t="s">
        <v>41</v>
      </c>
      <c r="S60" s="7"/>
      <c r="T60" s="7"/>
    </row>
    <row r="61" spans="1:20">
      <c r="A61" s="5">
        <v>60</v>
      </c>
      <c r="B61" s="5" t="s">
        <v>18</v>
      </c>
      <c r="C61" s="5" t="s">
        <v>255</v>
      </c>
      <c r="D61" s="6">
        <v>101407413648</v>
      </c>
      <c r="E61" s="7">
        <v>3310316931</v>
      </c>
      <c r="F61" s="14" t="s">
        <v>256</v>
      </c>
      <c r="G61" s="9" t="s">
        <v>28</v>
      </c>
      <c r="H61" s="5" t="str">
        <f>VLOOKUP(D61,'[1]Google attandance April -26'!$C:$AP,40,0)</f>
        <v>FOU19</v>
      </c>
      <c r="I61" s="10" t="s">
        <v>22</v>
      </c>
      <c r="J61" s="11">
        <v>27760</v>
      </c>
      <c r="K61" s="11">
        <v>44131</v>
      </c>
      <c r="L61" s="22">
        <v>588702401231</v>
      </c>
      <c r="M61" s="17" t="s">
        <v>257</v>
      </c>
      <c r="N61" s="14" t="s">
        <v>258</v>
      </c>
      <c r="O61" s="15" t="s">
        <v>259</v>
      </c>
      <c r="P61" s="17" t="s">
        <v>62</v>
      </c>
      <c r="Q61" s="17" t="s">
        <v>260</v>
      </c>
      <c r="R61" s="17">
        <v>7875284636</v>
      </c>
      <c r="S61" s="7"/>
      <c r="T61" s="7"/>
    </row>
    <row r="62" spans="1:20" ht="15">
      <c r="A62" s="5">
        <v>61</v>
      </c>
      <c r="B62" s="5" t="s">
        <v>18</v>
      </c>
      <c r="C62" s="5" t="s">
        <v>261</v>
      </c>
      <c r="D62" s="6">
        <v>101316345119</v>
      </c>
      <c r="E62" s="7">
        <v>3317408729</v>
      </c>
      <c r="F62" s="36" t="s">
        <v>262</v>
      </c>
      <c r="G62" s="9" t="e">
        <v>#N/A</v>
      </c>
      <c r="H62" s="5" t="e">
        <f>VLOOKUP(D62,'[1]Google attandance April -26'!$C:$AP,40,0)</f>
        <v>#N/A</v>
      </c>
      <c r="I62" s="10" t="s">
        <v>22</v>
      </c>
      <c r="J62" s="11">
        <v>31476</v>
      </c>
      <c r="K62" s="11" t="e">
        <v>#N/A</v>
      </c>
      <c r="L62" s="7"/>
      <c r="M62" s="17"/>
      <c r="N62" s="17"/>
      <c r="O62" s="17"/>
      <c r="P62" s="17" t="s">
        <v>56</v>
      </c>
      <c r="Q62" s="17"/>
      <c r="R62" s="24" t="s">
        <v>41</v>
      </c>
      <c r="S62" s="7"/>
      <c r="T62" s="7"/>
    </row>
    <row r="63" spans="1:20" ht="15">
      <c r="A63" s="5">
        <v>62</v>
      </c>
      <c r="B63" s="5" t="s">
        <v>18</v>
      </c>
      <c r="C63" s="5" t="s">
        <v>263</v>
      </c>
      <c r="D63" s="6">
        <v>102017027845</v>
      </c>
      <c r="E63" s="7">
        <v>3317459188</v>
      </c>
      <c r="F63" s="36" t="s">
        <v>264</v>
      </c>
      <c r="G63" s="9" t="e">
        <v>#N/A</v>
      </c>
      <c r="H63" s="5" t="e">
        <f>VLOOKUP(D63,'[1]Google attandance April -26'!$C:$AP,40,0)</f>
        <v>#N/A</v>
      </c>
      <c r="I63" s="10" t="s">
        <v>22</v>
      </c>
      <c r="J63" s="11">
        <v>35606</v>
      </c>
      <c r="K63" s="11" t="e">
        <v>#N/A</v>
      </c>
      <c r="L63" s="30">
        <v>702317943208</v>
      </c>
      <c r="M63" s="17" t="s">
        <v>265</v>
      </c>
      <c r="N63" s="17" t="s">
        <v>266</v>
      </c>
      <c r="O63" s="31" t="s">
        <v>267</v>
      </c>
      <c r="P63" s="17" t="s">
        <v>56</v>
      </c>
      <c r="Q63" s="17" t="s">
        <v>268</v>
      </c>
      <c r="R63" s="32">
        <v>8999272618</v>
      </c>
      <c r="S63" s="7"/>
      <c r="T63" s="7"/>
    </row>
    <row r="64" spans="1:20" ht="15">
      <c r="A64" s="5">
        <v>63</v>
      </c>
      <c r="B64" s="5" t="s">
        <v>18</v>
      </c>
      <c r="C64" s="5" t="s">
        <v>269</v>
      </c>
      <c r="D64" s="6">
        <v>101931400073</v>
      </c>
      <c r="E64" s="7">
        <v>3316313423</v>
      </c>
      <c r="F64" s="25" t="s">
        <v>270</v>
      </c>
      <c r="G64" s="9" t="s">
        <v>21</v>
      </c>
      <c r="H64" s="5" t="str">
        <f>VLOOKUP(D64,'[1]Google attandance April -26'!$C:$AP,40,0)</f>
        <v>FOU113</v>
      </c>
      <c r="I64" s="10" t="s">
        <v>22</v>
      </c>
      <c r="J64" s="11">
        <v>37338</v>
      </c>
      <c r="K64" s="11">
        <v>45417</v>
      </c>
      <c r="L64" s="6"/>
      <c r="M64" s="17"/>
      <c r="N64" s="14"/>
      <c r="O64" s="15"/>
      <c r="P64" s="26"/>
      <c r="Q64" s="17"/>
      <c r="R64" s="24" t="s">
        <v>41</v>
      </c>
      <c r="S64" s="7"/>
      <c r="T64" s="7"/>
    </row>
    <row r="65" spans="1:20">
      <c r="A65" s="5">
        <v>64</v>
      </c>
      <c r="B65" s="5" t="s">
        <v>18</v>
      </c>
      <c r="C65" s="5" t="s">
        <v>271</v>
      </c>
      <c r="D65" s="6">
        <v>101805790352</v>
      </c>
      <c r="E65" s="7">
        <v>3313806736</v>
      </c>
      <c r="F65" s="18" t="s">
        <v>272</v>
      </c>
      <c r="G65" s="9" t="s">
        <v>28</v>
      </c>
      <c r="H65" s="5" t="str">
        <f>VLOOKUP(D65,'[1]Google attandance April -26'!$C:$AP,40,0)</f>
        <v>FOU38</v>
      </c>
      <c r="I65" s="10" t="s">
        <v>22</v>
      </c>
      <c r="J65" s="11">
        <v>34036</v>
      </c>
      <c r="K65" s="11">
        <v>44670</v>
      </c>
      <c r="L65" s="12"/>
      <c r="M65" s="45"/>
      <c r="N65" s="14" t="s">
        <v>273</v>
      </c>
      <c r="O65" s="15" t="s">
        <v>274</v>
      </c>
      <c r="P65" s="16"/>
      <c r="Q65" s="17"/>
      <c r="R65" s="17">
        <v>8390863866</v>
      </c>
      <c r="S65" s="7"/>
      <c r="T65" s="7"/>
    </row>
    <row r="66" spans="1:20">
      <c r="A66" s="5">
        <v>65</v>
      </c>
      <c r="B66" s="5" t="s">
        <v>18</v>
      </c>
      <c r="C66" s="5" t="s">
        <v>275</v>
      </c>
      <c r="D66" s="6">
        <v>101486099649</v>
      </c>
      <c r="E66" s="7">
        <v>3311361569</v>
      </c>
      <c r="F66" s="14" t="s">
        <v>276</v>
      </c>
      <c r="G66" s="9" t="s">
        <v>80</v>
      </c>
      <c r="H66" s="5" t="str">
        <f>VLOOKUP(D66,'[1]Google attandance April -26'!$C:$AP,40,0)</f>
        <v>FOU26</v>
      </c>
      <c r="I66" s="10" t="s">
        <v>22</v>
      </c>
      <c r="J66" s="11">
        <v>32511</v>
      </c>
      <c r="K66" s="11">
        <v>43781</v>
      </c>
      <c r="L66" s="46">
        <v>300459956295</v>
      </c>
      <c r="M66" s="24" t="s">
        <v>277</v>
      </c>
      <c r="N66" s="14" t="s">
        <v>278</v>
      </c>
      <c r="O66" s="15" t="s">
        <v>279</v>
      </c>
      <c r="P66" s="17" t="s">
        <v>62</v>
      </c>
      <c r="Q66" s="17" t="s">
        <v>280</v>
      </c>
      <c r="R66" s="24">
        <v>9822628449</v>
      </c>
      <c r="S66" s="5"/>
      <c r="T66" s="5"/>
    </row>
    <row r="67" spans="1:20">
      <c r="A67" s="5">
        <v>66</v>
      </c>
      <c r="B67" s="5" t="s">
        <v>18</v>
      </c>
      <c r="C67" s="5" t="s">
        <v>281</v>
      </c>
      <c r="D67" s="6">
        <v>101825087496</v>
      </c>
      <c r="E67" s="7">
        <v>3314013802</v>
      </c>
      <c r="F67" s="18" t="s">
        <v>282</v>
      </c>
      <c r="G67" s="9" t="e">
        <v>#N/A</v>
      </c>
      <c r="H67" s="5" t="e">
        <f>VLOOKUP(D67,'[1]Google attandance April -26'!$C:$AP,40,0)</f>
        <v>#N/A</v>
      </c>
      <c r="I67" s="10" t="s">
        <v>22</v>
      </c>
      <c r="J67" s="11">
        <v>37488</v>
      </c>
      <c r="K67" s="11">
        <v>44722</v>
      </c>
      <c r="L67" s="12"/>
      <c r="M67" s="13" t="s">
        <v>34</v>
      </c>
      <c r="N67" s="14" t="s">
        <v>283</v>
      </c>
      <c r="O67" s="15" t="s">
        <v>284</v>
      </c>
      <c r="P67" s="16"/>
      <c r="Q67" s="17"/>
      <c r="R67" s="17">
        <v>9845118578</v>
      </c>
      <c r="S67" s="7"/>
      <c r="T67" s="7"/>
    </row>
    <row r="68" spans="1:20" ht="15">
      <c r="A68" s="5">
        <v>67</v>
      </c>
      <c r="B68" s="5" t="s">
        <v>18</v>
      </c>
      <c r="C68" s="5" t="s">
        <v>285</v>
      </c>
      <c r="D68" s="6">
        <v>102149533100</v>
      </c>
      <c r="E68" s="7">
        <v>3317113283</v>
      </c>
      <c r="F68" s="25" t="s">
        <v>286</v>
      </c>
      <c r="G68" s="9" t="e">
        <v>#N/A</v>
      </c>
      <c r="H68" s="5" t="e">
        <f>VLOOKUP(D68,'[1]Google attandance April -26'!$C:$AP,40,0)</f>
        <v>#N/A</v>
      </c>
      <c r="I68" s="10" t="s">
        <v>22</v>
      </c>
      <c r="J68" s="11">
        <v>38214</v>
      </c>
      <c r="K68" s="11" t="e">
        <v>#N/A</v>
      </c>
      <c r="L68" s="6"/>
      <c r="M68" s="17"/>
      <c r="N68" s="14"/>
      <c r="O68" s="15"/>
      <c r="P68" s="26"/>
      <c r="Q68" s="17"/>
      <c r="R68" s="24" t="s">
        <v>41</v>
      </c>
      <c r="S68" s="7"/>
      <c r="T68" s="7"/>
    </row>
    <row r="69" spans="1:20">
      <c r="A69" s="5">
        <v>68</v>
      </c>
      <c r="B69" s="5" t="s">
        <v>18</v>
      </c>
      <c r="C69" s="5" t="s">
        <v>287</v>
      </c>
      <c r="D69" s="6">
        <v>102078951370</v>
      </c>
      <c r="E69" s="7">
        <v>3316473499</v>
      </c>
      <c r="F69" s="25" t="s">
        <v>288</v>
      </c>
      <c r="G69" s="9" t="s">
        <v>28</v>
      </c>
      <c r="H69" s="5" t="str">
        <f>VLOOKUP(D69,'[1]Google attandance April -26'!$C:$AP,40,0)</f>
        <v>FOU224</v>
      </c>
      <c r="I69" s="10" t="s">
        <v>22</v>
      </c>
      <c r="J69" s="11">
        <v>37556</v>
      </c>
      <c r="K69" s="11">
        <v>45451</v>
      </c>
      <c r="L69" s="43"/>
      <c r="M69" s="47"/>
      <c r="N69" s="14" t="s">
        <v>85</v>
      </c>
      <c r="O69" s="15" t="s">
        <v>289</v>
      </c>
      <c r="P69" s="17"/>
      <c r="Q69" s="17"/>
      <c r="R69" s="32">
        <v>8669533824</v>
      </c>
      <c r="S69" s="7"/>
      <c r="T69" s="7"/>
    </row>
    <row r="70" spans="1:20">
      <c r="A70" s="5">
        <v>69</v>
      </c>
      <c r="B70" s="5" t="s">
        <v>18</v>
      </c>
      <c r="C70" s="5" t="s">
        <v>290</v>
      </c>
      <c r="D70" s="6">
        <v>101492178974</v>
      </c>
      <c r="E70" s="7">
        <v>3311090288</v>
      </c>
      <c r="F70" s="14" t="s">
        <v>291</v>
      </c>
      <c r="G70" s="9" t="s">
        <v>71</v>
      </c>
      <c r="H70" s="5" t="str">
        <f>VLOOKUP(D70,'[1]Google attandance April -26'!$C:$AP,40,0)</f>
        <v>FOU23</v>
      </c>
      <c r="I70" s="10" t="s">
        <v>22</v>
      </c>
      <c r="J70" s="11">
        <v>36487</v>
      </c>
      <c r="K70" s="11">
        <v>44065</v>
      </c>
      <c r="L70" s="22">
        <v>806151947019</v>
      </c>
      <c r="M70" s="17" t="s">
        <v>59</v>
      </c>
      <c r="N70" s="14" t="s">
        <v>50</v>
      </c>
      <c r="O70" s="15" t="s">
        <v>292</v>
      </c>
      <c r="P70" s="17" t="s">
        <v>293</v>
      </c>
      <c r="Q70" s="17" t="s">
        <v>293</v>
      </c>
      <c r="R70" s="17">
        <v>9284226568</v>
      </c>
      <c r="S70" s="7"/>
      <c r="T70" s="7"/>
    </row>
    <row r="71" spans="1:20" ht="15">
      <c r="A71" s="5">
        <v>70</v>
      </c>
      <c r="B71" s="5" t="s">
        <v>18</v>
      </c>
      <c r="C71" s="5" t="s">
        <v>294</v>
      </c>
      <c r="D71" s="6">
        <v>102008905332</v>
      </c>
      <c r="E71" s="7">
        <v>3317732854</v>
      </c>
      <c r="F71" s="36" t="s">
        <v>295</v>
      </c>
      <c r="G71" s="9" t="e">
        <v>#N/A</v>
      </c>
      <c r="H71" s="5" t="e">
        <f>VLOOKUP(D71,'[1]Google attandance April -26'!$C:$AP,40,0)</f>
        <v>#N/A</v>
      </c>
      <c r="I71" s="10" t="s">
        <v>22</v>
      </c>
      <c r="J71" s="11" t="e">
        <v>#N/A</v>
      </c>
      <c r="K71" s="11" t="e">
        <v>#N/A</v>
      </c>
      <c r="L71" s="30">
        <v>705664493877</v>
      </c>
      <c r="M71" s="17"/>
      <c r="N71" s="17" t="s">
        <v>296</v>
      </c>
      <c r="O71" s="31" t="s">
        <v>297</v>
      </c>
      <c r="P71" s="17" t="s">
        <v>56</v>
      </c>
      <c r="Q71" s="17" t="s">
        <v>298</v>
      </c>
      <c r="R71" s="32">
        <v>7975607005</v>
      </c>
      <c r="S71" s="7"/>
      <c r="T71" s="7"/>
    </row>
    <row r="72" spans="1:20">
      <c r="A72" s="5">
        <v>71</v>
      </c>
      <c r="B72" s="5" t="s">
        <v>18</v>
      </c>
      <c r="C72" s="5" t="s">
        <v>299</v>
      </c>
      <c r="D72" s="6">
        <v>102043325341</v>
      </c>
      <c r="E72" s="7">
        <v>3316063261</v>
      </c>
      <c r="F72" s="35" t="s">
        <v>300</v>
      </c>
      <c r="G72" s="9" t="s">
        <v>44</v>
      </c>
      <c r="H72" s="5" t="str">
        <f>VLOOKUP(D72,'[1]Google attandance April -26'!$C:$AP,40,0)</f>
        <v>FOU91</v>
      </c>
      <c r="I72" s="10" t="s">
        <v>22</v>
      </c>
      <c r="J72" s="11">
        <v>37420</v>
      </c>
      <c r="K72" s="11">
        <v>45335</v>
      </c>
      <c r="L72" s="12"/>
      <c r="M72" s="13" t="s">
        <v>29</v>
      </c>
      <c r="N72" s="14" t="s">
        <v>81</v>
      </c>
      <c r="O72" s="15" t="s">
        <v>301</v>
      </c>
      <c r="P72" s="16"/>
      <c r="Q72" s="17"/>
      <c r="R72" s="17">
        <v>9970502328</v>
      </c>
      <c r="S72" s="7"/>
      <c r="T72" s="7"/>
    </row>
    <row r="73" spans="1:20">
      <c r="A73" s="5">
        <v>72</v>
      </c>
      <c r="B73" s="5" t="s">
        <v>18</v>
      </c>
      <c r="C73" s="5" t="s">
        <v>302</v>
      </c>
      <c r="D73" s="6">
        <v>101821692693</v>
      </c>
      <c r="E73" s="7">
        <v>3313965630</v>
      </c>
      <c r="F73" s="35" t="s">
        <v>303</v>
      </c>
      <c r="G73" s="9" t="s">
        <v>80</v>
      </c>
      <c r="H73" s="5" t="str">
        <f>VLOOKUP(D73,'[1]Google attandance April -26'!$C:$AP,40,0)</f>
        <v>FOU39</v>
      </c>
      <c r="I73" s="10" t="s">
        <v>22</v>
      </c>
      <c r="J73" s="11">
        <v>37503</v>
      </c>
      <c r="K73" s="11">
        <v>44712</v>
      </c>
      <c r="L73" s="12"/>
      <c r="M73" s="13" t="s">
        <v>34</v>
      </c>
      <c r="N73" s="14" t="s">
        <v>100</v>
      </c>
      <c r="O73" s="15" t="s">
        <v>304</v>
      </c>
      <c r="P73" s="16"/>
      <c r="Q73" s="17"/>
      <c r="R73" s="17">
        <v>9309775807</v>
      </c>
      <c r="S73" s="7"/>
      <c r="T73" s="7"/>
    </row>
    <row r="74" spans="1:20">
      <c r="A74" s="5">
        <v>73</v>
      </c>
      <c r="B74" s="5" t="s">
        <v>18</v>
      </c>
      <c r="C74" s="5" t="s">
        <v>305</v>
      </c>
      <c r="D74" s="6">
        <v>101591620411</v>
      </c>
      <c r="E74" s="7">
        <v>3313948482</v>
      </c>
      <c r="F74" s="18" t="s">
        <v>306</v>
      </c>
      <c r="G74" s="9" t="s">
        <v>28</v>
      </c>
      <c r="H74" s="5" t="str">
        <f>VLOOKUP(D74,'[1]Google attandance April -26'!$C:$AP,40,0)</f>
        <v>FOU535</v>
      </c>
      <c r="I74" s="10" t="s">
        <v>22</v>
      </c>
      <c r="J74" s="11">
        <v>35281</v>
      </c>
      <c r="K74" s="11">
        <v>44708</v>
      </c>
      <c r="L74" s="12"/>
      <c r="M74" s="48" t="s">
        <v>23</v>
      </c>
      <c r="N74" s="14" t="s">
        <v>24</v>
      </c>
      <c r="O74" s="15" t="s">
        <v>307</v>
      </c>
      <c r="P74" s="16"/>
      <c r="Q74" s="17"/>
      <c r="R74" s="17">
        <v>9834799929</v>
      </c>
      <c r="S74" s="7"/>
      <c r="T74" s="7"/>
    </row>
    <row r="75" spans="1:20">
      <c r="A75" s="5">
        <v>74</v>
      </c>
      <c r="B75" s="5" t="s">
        <v>18</v>
      </c>
      <c r="C75" s="5" t="s">
        <v>308</v>
      </c>
      <c r="D75" s="6">
        <v>101154454730</v>
      </c>
      <c r="E75" s="7">
        <v>3308695163</v>
      </c>
      <c r="F75" s="18" t="s">
        <v>309</v>
      </c>
      <c r="G75" s="9" t="s">
        <v>28</v>
      </c>
      <c r="H75" s="5" t="str">
        <f>VLOOKUP(D75,'[1]Google attandance April -26'!$C:$AP,40,0)</f>
        <v>FOU35</v>
      </c>
      <c r="I75" s="10" t="s">
        <v>22</v>
      </c>
      <c r="J75" s="11">
        <v>36312</v>
      </c>
      <c r="K75" s="11">
        <v>46096</v>
      </c>
      <c r="L75" s="12"/>
      <c r="M75" s="13" t="s">
        <v>34</v>
      </c>
      <c r="N75" s="14" t="s">
        <v>133</v>
      </c>
      <c r="O75" s="15" t="s">
        <v>310</v>
      </c>
      <c r="P75" s="16"/>
      <c r="Q75" s="17"/>
      <c r="R75" s="17">
        <v>8999249498</v>
      </c>
      <c r="S75" s="7"/>
      <c r="T75" s="7"/>
    </row>
    <row r="76" spans="1:20" ht="15">
      <c r="A76" s="5">
        <v>75</v>
      </c>
      <c r="B76" s="5" t="s">
        <v>18</v>
      </c>
      <c r="C76" s="5" t="s">
        <v>311</v>
      </c>
      <c r="D76" s="6">
        <v>102192361344</v>
      </c>
      <c r="E76" s="7">
        <v>3317533557</v>
      </c>
      <c r="F76" s="25" t="s">
        <v>312</v>
      </c>
      <c r="G76" s="9" t="e">
        <v>#N/A</v>
      </c>
      <c r="H76" s="5" t="e">
        <f>VLOOKUP(D76,'[1]Google attandance April -26'!$C:$AP,40,0)</f>
        <v>#N/A</v>
      </c>
      <c r="I76" s="10" t="s">
        <v>22</v>
      </c>
      <c r="J76" s="11">
        <v>39157</v>
      </c>
      <c r="K76" s="11" t="e">
        <v>#N/A</v>
      </c>
      <c r="L76" s="6"/>
      <c r="M76" s="17"/>
      <c r="N76" s="14" t="s">
        <v>100</v>
      </c>
      <c r="O76" s="15" t="s">
        <v>213</v>
      </c>
      <c r="P76" s="26"/>
      <c r="Q76" s="17"/>
      <c r="R76" s="24" t="s">
        <v>41</v>
      </c>
      <c r="S76" s="7"/>
      <c r="T76" s="7"/>
    </row>
    <row r="77" spans="1:20">
      <c r="A77" s="5">
        <v>76</v>
      </c>
      <c r="B77" s="5" t="s">
        <v>18</v>
      </c>
      <c r="C77" s="5" t="s">
        <v>313</v>
      </c>
      <c r="D77" s="6">
        <v>101960331774</v>
      </c>
      <c r="E77" s="7">
        <v>3315285018</v>
      </c>
      <c r="F77" s="35" t="s">
        <v>314</v>
      </c>
      <c r="G77" s="9" t="s">
        <v>44</v>
      </c>
      <c r="H77" s="5" t="str">
        <f>VLOOKUP(D77,'[1]Google attandance April -26'!$C:$AP,40,0)</f>
        <v>FOU367</v>
      </c>
      <c r="I77" s="10" t="s">
        <v>22</v>
      </c>
      <c r="J77" s="11">
        <v>38365</v>
      </c>
      <c r="K77" s="11">
        <v>45610</v>
      </c>
      <c r="L77" s="12"/>
      <c r="M77" s="13" t="s">
        <v>34</v>
      </c>
      <c r="N77" s="14" t="s">
        <v>174</v>
      </c>
      <c r="O77" s="15" t="s">
        <v>315</v>
      </c>
      <c r="P77" s="16"/>
      <c r="Q77" s="17"/>
      <c r="R77" s="17">
        <v>9579990784</v>
      </c>
      <c r="S77" s="7"/>
      <c r="T77" s="7"/>
    </row>
    <row r="78" spans="1:20" ht="15">
      <c r="A78" s="5">
        <v>77</v>
      </c>
      <c r="B78" s="5" t="s">
        <v>18</v>
      </c>
      <c r="C78" s="5" t="s">
        <v>316</v>
      </c>
      <c r="D78" s="6">
        <v>102199764636</v>
      </c>
      <c r="E78" s="7">
        <v>3317595266</v>
      </c>
      <c r="F78" s="36" t="s">
        <v>317</v>
      </c>
      <c r="G78" s="9" t="e">
        <v>#N/A</v>
      </c>
      <c r="H78" s="5" t="e">
        <f>VLOOKUP(D78,'[1]Google attandance April -26'!$C:$AP,40,0)</f>
        <v>#N/A</v>
      </c>
      <c r="I78" s="10" t="s">
        <v>22</v>
      </c>
      <c r="J78" s="11" t="e">
        <v>#N/A</v>
      </c>
      <c r="K78" s="11" t="e">
        <v>#N/A</v>
      </c>
      <c r="L78" s="30">
        <v>450096643082</v>
      </c>
      <c r="M78" s="17"/>
      <c r="N78" s="17" t="s">
        <v>318</v>
      </c>
      <c r="O78" s="31" t="s">
        <v>319</v>
      </c>
      <c r="P78" s="17" t="s">
        <v>56</v>
      </c>
      <c r="Q78" s="17" t="s">
        <v>320</v>
      </c>
      <c r="R78" s="32">
        <v>9019810963</v>
      </c>
      <c r="S78" s="7"/>
      <c r="T78" s="7"/>
    </row>
    <row r="79" spans="1:20">
      <c r="A79" s="5">
        <v>78</v>
      </c>
      <c r="B79" s="5" t="s">
        <v>18</v>
      </c>
      <c r="C79" s="5" t="s">
        <v>321</v>
      </c>
      <c r="D79" s="6">
        <v>101540070377</v>
      </c>
      <c r="E79" s="7">
        <v>3311838965</v>
      </c>
      <c r="F79" s="14" t="s">
        <v>322</v>
      </c>
      <c r="G79" s="9" t="s">
        <v>44</v>
      </c>
      <c r="H79" s="5" t="str">
        <f>VLOOKUP(D79,'[1]Google attandance April -26'!$C:$AP,40,0)</f>
        <v>FOU29</v>
      </c>
      <c r="I79" s="10" t="s">
        <v>22</v>
      </c>
      <c r="J79" s="11">
        <v>35327</v>
      </c>
      <c r="K79" s="11">
        <v>43988</v>
      </c>
      <c r="L79" s="22">
        <v>394402396446</v>
      </c>
      <c r="M79" s="13" t="s">
        <v>29</v>
      </c>
      <c r="N79" s="14" t="s">
        <v>60</v>
      </c>
      <c r="O79" s="15" t="s">
        <v>323</v>
      </c>
      <c r="P79" s="17" t="s">
        <v>324</v>
      </c>
      <c r="Q79" s="17" t="s">
        <v>324</v>
      </c>
      <c r="R79" s="17">
        <v>7264883537</v>
      </c>
      <c r="S79" s="28"/>
      <c r="T79" s="7"/>
    </row>
    <row r="80" spans="1:20">
      <c r="A80" s="5">
        <v>79</v>
      </c>
      <c r="B80" s="5" t="s">
        <v>18</v>
      </c>
      <c r="C80" s="5" t="s">
        <v>325</v>
      </c>
      <c r="D80" s="6">
        <v>101475170616</v>
      </c>
      <c r="E80" s="7">
        <v>3310906192</v>
      </c>
      <c r="F80" s="14" t="s">
        <v>326</v>
      </c>
      <c r="G80" s="9" t="s">
        <v>28</v>
      </c>
      <c r="H80" s="5" t="str">
        <f>VLOOKUP(D80,'[1]Google attandance April -26'!$C:$AP,40,0)</f>
        <v>FOU22</v>
      </c>
      <c r="I80" s="10" t="s">
        <v>22</v>
      </c>
      <c r="J80" s="11">
        <v>34201</v>
      </c>
      <c r="K80" s="11">
        <v>43629</v>
      </c>
      <c r="L80" s="22">
        <v>863316460815</v>
      </c>
      <c r="M80" s="17" t="s">
        <v>327</v>
      </c>
      <c r="N80" s="14" t="s">
        <v>182</v>
      </c>
      <c r="O80" s="15" t="s">
        <v>328</v>
      </c>
      <c r="P80" s="17" t="s">
        <v>329</v>
      </c>
      <c r="Q80" s="17" t="s">
        <v>329</v>
      </c>
      <c r="R80" s="17">
        <v>8412082236</v>
      </c>
      <c r="S80" s="7"/>
      <c r="T80" s="7"/>
    </row>
    <row r="81" spans="1:20" ht="15">
      <c r="A81" s="5">
        <v>80</v>
      </c>
      <c r="B81" s="5" t="s">
        <v>18</v>
      </c>
      <c r="C81" s="5" t="s">
        <v>330</v>
      </c>
      <c r="D81" s="6">
        <v>101605752622</v>
      </c>
      <c r="E81" s="7">
        <v>3317686244</v>
      </c>
      <c r="F81" s="36" t="s">
        <v>331</v>
      </c>
      <c r="G81" s="9" t="e">
        <v>#N/A</v>
      </c>
      <c r="H81" s="5" t="e">
        <f>VLOOKUP(D81,'[1]Google attandance April -26'!$C:$AP,40,0)</f>
        <v>#N/A</v>
      </c>
      <c r="I81" s="10" t="s">
        <v>22</v>
      </c>
      <c r="J81" s="11">
        <v>36077</v>
      </c>
      <c r="K81" s="11" t="e">
        <v>#N/A</v>
      </c>
      <c r="L81" s="30">
        <v>332345948721</v>
      </c>
      <c r="M81" s="17"/>
      <c r="N81" s="17" t="s">
        <v>332</v>
      </c>
      <c r="O81" s="31" t="s">
        <v>333</v>
      </c>
      <c r="P81" s="17" t="s">
        <v>56</v>
      </c>
      <c r="Q81" s="17" t="s">
        <v>334</v>
      </c>
      <c r="R81" s="32">
        <v>7218147027</v>
      </c>
      <c r="S81" s="7"/>
      <c r="T81" s="7"/>
    </row>
    <row r="82" spans="1:20" ht="15">
      <c r="A82" s="5">
        <v>81</v>
      </c>
      <c r="B82" s="5" t="s">
        <v>18</v>
      </c>
      <c r="C82" s="5" t="s">
        <v>335</v>
      </c>
      <c r="D82" s="6">
        <v>102211278046</v>
      </c>
      <c r="E82" s="7">
        <v>3317712555</v>
      </c>
      <c r="F82" s="36" t="s">
        <v>336</v>
      </c>
      <c r="G82" s="9" t="e">
        <v>#N/A</v>
      </c>
      <c r="H82" s="5" t="e">
        <f>VLOOKUP(D82,'[1]Google attandance April -26'!$C:$AP,40,0)</f>
        <v>#N/A</v>
      </c>
      <c r="I82" s="10" t="s">
        <v>22</v>
      </c>
      <c r="J82" s="11">
        <v>39030</v>
      </c>
      <c r="K82" s="11" t="e">
        <v>#N/A</v>
      </c>
      <c r="L82" s="30">
        <v>748316022322</v>
      </c>
      <c r="M82" s="17"/>
      <c r="N82" s="17" t="s">
        <v>337</v>
      </c>
      <c r="O82" s="31" t="s">
        <v>338</v>
      </c>
      <c r="P82" s="17" t="s">
        <v>56</v>
      </c>
      <c r="Q82" s="17" t="s">
        <v>339</v>
      </c>
      <c r="R82" s="32">
        <v>9096293019</v>
      </c>
      <c r="S82" s="7"/>
      <c r="T82" s="7"/>
    </row>
    <row r="83" spans="1:20">
      <c r="A83" s="5">
        <v>82</v>
      </c>
      <c r="B83" s="5" t="s">
        <v>18</v>
      </c>
      <c r="C83" s="5" t="s">
        <v>340</v>
      </c>
      <c r="D83" s="6">
        <v>100632132561</v>
      </c>
      <c r="E83" s="7">
        <v>3316711072</v>
      </c>
      <c r="F83" s="25" t="s">
        <v>341</v>
      </c>
      <c r="G83" s="9" t="e">
        <v>#N/A</v>
      </c>
      <c r="H83" s="5" t="e">
        <f>VLOOKUP(D83,'[1]Google attandance April -26'!$C:$AP,40,0)</f>
        <v>#N/A</v>
      </c>
      <c r="I83" s="10" t="s">
        <v>22</v>
      </c>
      <c r="J83" s="11">
        <v>33025</v>
      </c>
      <c r="K83" s="11" t="e">
        <v>#N/A</v>
      </c>
      <c r="L83" s="49"/>
      <c r="M83" s="15"/>
      <c r="N83" s="14" t="s">
        <v>182</v>
      </c>
      <c r="O83" s="15" t="s">
        <v>342</v>
      </c>
      <c r="P83" s="17"/>
      <c r="Q83" s="17"/>
      <c r="R83" s="32">
        <v>8007305838</v>
      </c>
      <c r="S83" s="7"/>
      <c r="T83" s="7"/>
    </row>
    <row r="84" spans="1:20">
      <c r="A84" s="5">
        <v>83</v>
      </c>
      <c r="B84" s="5" t="s">
        <v>18</v>
      </c>
      <c r="C84" s="5" t="s">
        <v>343</v>
      </c>
      <c r="D84" s="6">
        <v>101923650899</v>
      </c>
      <c r="E84" s="7">
        <v>3315707279</v>
      </c>
      <c r="F84" s="35" t="s">
        <v>344</v>
      </c>
      <c r="G84" s="9" t="e">
        <v>#N/A</v>
      </c>
      <c r="H84" s="5" t="e">
        <f>VLOOKUP(D84,'[1]Google attandance April -26'!$C:$AP,40,0)</f>
        <v>#N/A</v>
      </c>
      <c r="I84" s="10" t="s">
        <v>22</v>
      </c>
      <c r="J84" s="11">
        <v>37753</v>
      </c>
      <c r="K84" s="11">
        <v>46114</v>
      </c>
      <c r="L84" s="12"/>
      <c r="M84" s="13"/>
      <c r="N84" s="14" t="s">
        <v>345</v>
      </c>
      <c r="O84" s="15" t="s">
        <v>346</v>
      </c>
      <c r="P84" s="16"/>
      <c r="Q84" s="17"/>
      <c r="R84" s="17">
        <v>9307663368</v>
      </c>
      <c r="S84" s="7"/>
      <c r="T84" s="7"/>
    </row>
    <row r="85" spans="1:20">
      <c r="A85" s="5">
        <v>84</v>
      </c>
      <c r="B85" s="5" t="s">
        <v>18</v>
      </c>
      <c r="C85" s="5" t="s">
        <v>347</v>
      </c>
      <c r="D85" s="6">
        <v>101396804599</v>
      </c>
      <c r="E85" s="7">
        <v>3315708668</v>
      </c>
      <c r="F85" s="35" t="s">
        <v>348</v>
      </c>
      <c r="G85" s="9" t="s">
        <v>104</v>
      </c>
      <c r="H85" s="5" t="str">
        <f>VLOOKUP(D85,'[1]Google attandance April -26'!$C:$AP,40,0)</f>
        <v>FOU74</v>
      </c>
      <c r="I85" s="10" t="s">
        <v>22</v>
      </c>
      <c r="J85" s="11">
        <v>35269</v>
      </c>
      <c r="K85" s="11">
        <v>45229</v>
      </c>
      <c r="L85" s="12"/>
      <c r="M85" s="13" t="s">
        <v>23</v>
      </c>
      <c r="N85" s="14" t="s">
        <v>349</v>
      </c>
      <c r="O85" s="15" t="s">
        <v>350</v>
      </c>
      <c r="P85" s="16"/>
      <c r="Q85" s="17"/>
      <c r="R85" s="17">
        <v>8698055644</v>
      </c>
      <c r="S85" s="7"/>
      <c r="T85" s="7"/>
    </row>
    <row r="86" spans="1:20">
      <c r="A86" s="5">
        <v>85</v>
      </c>
      <c r="B86" s="5" t="s">
        <v>18</v>
      </c>
      <c r="C86" s="5" t="s">
        <v>351</v>
      </c>
      <c r="D86" s="6">
        <v>101817173110</v>
      </c>
      <c r="E86" s="7">
        <v>3315929520</v>
      </c>
      <c r="F86" s="35" t="s">
        <v>352</v>
      </c>
      <c r="G86" s="9" t="s">
        <v>71</v>
      </c>
      <c r="H86" s="5" t="str">
        <f>VLOOKUP(D86,'[1]Google attandance April -26'!$C:$AP,40,0)</f>
        <v>FOU86</v>
      </c>
      <c r="I86" s="10" t="s">
        <v>22</v>
      </c>
      <c r="J86" s="11">
        <v>36022</v>
      </c>
      <c r="K86" s="11">
        <v>45297</v>
      </c>
      <c r="L86" s="12"/>
      <c r="M86" s="13" t="s">
        <v>34</v>
      </c>
      <c r="N86" s="14" t="s">
        <v>238</v>
      </c>
      <c r="O86" s="15" t="s">
        <v>353</v>
      </c>
      <c r="P86" s="16"/>
      <c r="Q86" s="17"/>
      <c r="R86" s="17">
        <v>8830518245</v>
      </c>
      <c r="S86" s="7"/>
      <c r="T86" s="7"/>
    </row>
    <row r="87" spans="1:20">
      <c r="A87" s="5">
        <v>86</v>
      </c>
      <c r="B87" s="5" t="s">
        <v>18</v>
      </c>
      <c r="C87" s="5" t="s">
        <v>354</v>
      </c>
      <c r="D87" s="6">
        <v>101934615110</v>
      </c>
      <c r="E87" s="7">
        <v>3315529289</v>
      </c>
      <c r="F87" s="35" t="s">
        <v>355</v>
      </c>
      <c r="G87" s="9" t="e">
        <v>#N/A</v>
      </c>
      <c r="H87" s="5" t="e">
        <f>VLOOKUP(D87,'[1]Google attandance April -26'!$C:$AP,40,0)</f>
        <v>#N/A</v>
      </c>
      <c r="I87" s="10" t="s">
        <v>22</v>
      </c>
      <c r="J87" s="11">
        <v>38131</v>
      </c>
      <c r="K87" s="11" t="e">
        <v>#N/A</v>
      </c>
      <c r="L87" s="12"/>
      <c r="M87" s="13" t="s">
        <v>34</v>
      </c>
      <c r="N87" s="14" t="s">
        <v>356</v>
      </c>
      <c r="O87" s="15" t="s">
        <v>357</v>
      </c>
      <c r="P87" s="16"/>
      <c r="Q87" s="17"/>
      <c r="R87" s="17">
        <v>7666723438</v>
      </c>
      <c r="S87" s="7"/>
      <c r="T87" s="7"/>
    </row>
    <row r="88" spans="1:20">
      <c r="A88" s="5">
        <v>87</v>
      </c>
      <c r="B88" s="5" t="s">
        <v>18</v>
      </c>
      <c r="C88" s="5" t="s">
        <v>358</v>
      </c>
      <c r="D88" s="6">
        <v>101764198474</v>
      </c>
      <c r="E88" s="7">
        <v>3315747749</v>
      </c>
      <c r="F88" s="50" t="s">
        <v>359</v>
      </c>
      <c r="G88" s="9" t="e">
        <v>#N/A</v>
      </c>
      <c r="H88" s="5" t="e">
        <f>VLOOKUP(D88,'[1]Google attandance April -26'!$C:$AP,40,0)</f>
        <v>#N/A</v>
      </c>
      <c r="I88" s="10" t="s">
        <v>22</v>
      </c>
      <c r="J88" s="11">
        <v>37007</v>
      </c>
      <c r="K88" s="11" t="e">
        <v>#N/A</v>
      </c>
      <c r="L88" s="12"/>
      <c r="M88" s="41" t="s">
        <v>203</v>
      </c>
      <c r="N88" s="14" t="s">
        <v>360</v>
      </c>
      <c r="O88" s="15" t="s">
        <v>361</v>
      </c>
      <c r="P88" s="16"/>
      <c r="Q88" s="17"/>
      <c r="R88" s="17">
        <v>8530663410</v>
      </c>
      <c r="S88" s="7"/>
      <c r="T88" s="7"/>
    </row>
    <row r="89" spans="1:20">
      <c r="A89" s="5">
        <v>88</v>
      </c>
      <c r="B89" s="5" t="s">
        <v>18</v>
      </c>
      <c r="C89" s="5" t="s">
        <v>362</v>
      </c>
      <c r="D89" s="6">
        <v>101909060608</v>
      </c>
      <c r="E89" s="7">
        <v>3314771015</v>
      </c>
      <c r="F89" s="35" t="s">
        <v>363</v>
      </c>
      <c r="G89" s="9" t="s">
        <v>80</v>
      </c>
      <c r="H89" s="5" t="str">
        <f>VLOOKUP(D89,'[1]Google attandance April -26'!$C:$AP,40,0)</f>
        <v>FOU54</v>
      </c>
      <c r="I89" s="10" t="s">
        <v>22</v>
      </c>
      <c r="J89" s="11">
        <v>38337</v>
      </c>
      <c r="K89" s="11">
        <v>45079</v>
      </c>
      <c r="L89" s="12"/>
      <c r="M89" s="13" t="s">
        <v>29</v>
      </c>
      <c r="N89" s="14" t="s">
        <v>81</v>
      </c>
      <c r="O89" s="15" t="s">
        <v>364</v>
      </c>
      <c r="P89" s="16"/>
      <c r="Q89" s="17"/>
      <c r="R89" s="17">
        <v>7057809813</v>
      </c>
      <c r="S89" s="7"/>
      <c r="T89" s="7"/>
    </row>
    <row r="90" spans="1:20" ht="15">
      <c r="A90" s="5">
        <v>89</v>
      </c>
      <c r="B90" s="5" t="s">
        <v>18</v>
      </c>
      <c r="C90" s="5" t="s">
        <v>365</v>
      </c>
      <c r="D90" s="6">
        <v>102067179570</v>
      </c>
      <c r="E90" s="7">
        <v>3316330556</v>
      </c>
      <c r="F90" s="25" t="s">
        <v>366</v>
      </c>
      <c r="G90" s="9" t="s">
        <v>104</v>
      </c>
      <c r="H90" s="5" t="str">
        <f>VLOOKUP(D90,'[1]Google attandance April -26'!$C:$AP,40,0)</f>
        <v>FOU114</v>
      </c>
      <c r="I90" s="10" t="s">
        <v>22</v>
      </c>
      <c r="J90" s="11">
        <v>30107</v>
      </c>
      <c r="K90" s="11">
        <v>46096</v>
      </c>
      <c r="L90" s="6"/>
      <c r="M90" s="17"/>
      <c r="N90" s="14"/>
      <c r="O90" s="15"/>
      <c r="P90" s="26"/>
      <c r="Q90" s="17"/>
      <c r="R90" s="24" t="s">
        <v>41</v>
      </c>
      <c r="S90" s="7"/>
      <c r="T90" s="7"/>
    </row>
    <row r="91" spans="1:20">
      <c r="A91" s="5">
        <v>90</v>
      </c>
      <c r="B91" s="5" t="s">
        <v>18</v>
      </c>
      <c r="C91" s="5" t="s">
        <v>367</v>
      </c>
      <c r="D91" s="6">
        <v>102086487131</v>
      </c>
      <c r="E91" s="7">
        <v>3316548526</v>
      </c>
      <c r="F91" s="25" t="s">
        <v>368</v>
      </c>
      <c r="G91" s="9" t="s">
        <v>104</v>
      </c>
      <c r="H91" s="5" t="str">
        <f>VLOOKUP(D91,'[1]Google attandance April -26'!$C:$AP,40,0)</f>
        <v>FOU209</v>
      </c>
      <c r="I91" s="10" t="s">
        <v>22</v>
      </c>
      <c r="J91" s="11">
        <v>30468</v>
      </c>
      <c r="K91" s="11">
        <v>45471</v>
      </c>
      <c r="L91" s="43"/>
      <c r="M91" s="51"/>
      <c r="N91" s="14" t="s">
        <v>369</v>
      </c>
      <c r="O91" s="15" t="s">
        <v>370</v>
      </c>
      <c r="P91" s="17"/>
      <c r="Q91" s="17"/>
      <c r="R91" s="32">
        <v>7030683009</v>
      </c>
      <c r="S91" s="7"/>
      <c r="T91" s="7"/>
    </row>
    <row r="92" spans="1:20">
      <c r="A92" s="5">
        <v>91</v>
      </c>
      <c r="B92" s="5" t="s">
        <v>18</v>
      </c>
      <c r="C92" s="5" t="s">
        <v>371</v>
      </c>
      <c r="D92" s="6">
        <v>102125816854</v>
      </c>
      <c r="E92" s="7">
        <v>3316906128</v>
      </c>
      <c r="F92" s="25" t="s">
        <v>372</v>
      </c>
      <c r="G92" s="9" t="s">
        <v>21</v>
      </c>
      <c r="H92" s="5" t="str">
        <f>VLOOKUP(D92,'[1]Google attandance April -26'!$C:$AP,40,0)</f>
        <v>FOU314</v>
      </c>
      <c r="I92" s="10" t="s">
        <v>22</v>
      </c>
      <c r="J92" s="11">
        <v>38353</v>
      </c>
      <c r="K92" s="11">
        <v>45572</v>
      </c>
      <c r="L92" s="6">
        <v>862808000196</v>
      </c>
      <c r="M92" s="17"/>
      <c r="N92" s="14" t="s">
        <v>133</v>
      </c>
      <c r="O92" s="15" t="s">
        <v>373</v>
      </c>
      <c r="P92" s="17"/>
      <c r="Q92" s="17"/>
      <c r="R92" s="32">
        <v>9860286720</v>
      </c>
      <c r="S92" s="7"/>
      <c r="T92" s="7"/>
    </row>
    <row r="93" spans="1:20" ht="15">
      <c r="A93" s="5">
        <v>92</v>
      </c>
      <c r="B93" s="5" t="s">
        <v>18</v>
      </c>
      <c r="C93" s="5" t="s">
        <v>374</v>
      </c>
      <c r="D93" s="6">
        <v>101121366005</v>
      </c>
      <c r="E93" s="7">
        <v>3317686983</v>
      </c>
      <c r="F93" s="36" t="s">
        <v>375</v>
      </c>
      <c r="G93" s="9" t="e">
        <v>#N/A</v>
      </c>
      <c r="H93" s="5" t="e">
        <f>VLOOKUP(D93,'[1]Google attandance April -26'!$C:$AP,40,0)</f>
        <v>#N/A</v>
      </c>
      <c r="I93" s="10" t="s">
        <v>22</v>
      </c>
      <c r="J93" s="11">
        <v>33550</v>
      </c>
      <c r="K93" s="11" t="e">
        <v>#N/A</v>
      </c>
      <c r="L93" s="30">
        <v>815998795102</v>
      </c>
      <c r="M93" s="17"/>
      <c r="N93" s="17" t="s">
        <v>376</v>
      </c>
      <c r="O93" s="31" t="s">
        <v>377</v>
      </c>
      <c r="P93" s="17" t="s">
        <v>56</v>
      </c>
      <c r="Q93" s="17" t="s">
        <v>378</v>
      </c>
      <c r="R93" s="32">
        <v>7720948560</v>
      </c>
      <c r="S93" s="7"/>
      <c r="T93" s="7"/>
    </row>
    <row r="94" spans="1:20">
      <c r="A94" s="5">
        <v>93</v>
      </c>
      <c r="B94" s="5" t="s">
        <v>18</v>
      </c>
      <c r="C94" s="5" t="s">
        <v>379</v>
      </c>
      <c r="D94" s="6">
        <v>101944505682</v>
      </c>
      <c r="E94" s="7">
        <v>3315530821</v>
      </c>
      <c r="F94" s="35" t="s">
        <v>380</v>
      </c>
      <c r="G94" s="9" t="s">
        <v>71</v>
      </c>
      <c r="H94" s="5" t="str">
        <f>VLOOKUP(D94,'[1]Google attandance April -26'!$C:$AP,40,0)</f>
        <v>FOU82</v>
      </c>
      <c r="I94" s="10" t="s">
        <v>22</v>
      </c>
      <c r="J94" s="11">
        <v>37768</v>
      </c>
      <c r="K94" s="11">
        <v>45171</v>
      </c>
      <c r="L94" s="12"/>
      <c r="M94" s="13" t="s">
        <v>381</v>
      </c>
      <c r="N94" s="14" t="s">
        <v>191</v>
      </c>
      <c r="O94" s="15" t="s">
        <v>382</v>
      </c>
      <c r="P94" s="16"/>
      <c r="Q94" s="17"/>
      <c r="R94" s="17">
        <v>9867632013</v>
      </c>
      <c r="S94" s="7"/>
      <c r="T94" s="7"/>
    </row>
    <row r="95" spans="1:20">
      <c r="A95" s="5">
        <v>94</v>
      </c>
      <c r="B95" s="5" t="s">
        <v>18</v>
      </c>
      <c r="C95" s="5" t="s">
        <v>383</v>
      </c>
      <c r="D95" s="6">
        <v>101424675655</v>
      </c>
      <c r="E95" s="7">
        <v>3311838973</v>
      </c>
      <c r="F95" s="14" t="s">
        <v>384</v>
      </c>
      <c r="G95" s="9" t="s">
        <v>44</v>
      </c>
      <c r="H95" s="5" t="str">
        <f>VLOOKUP(D95,'[1]Google attandance April -26'!$C:$AP,40,0)</f>
        <v>FOU28</v>
      </c>
      <c r="I95" s="10" t="s">
        <v>22</v>
      </c>
      <c r="J95" s="11">
        <v>34335</v>
      </c>
      <c r="K95" s="11">
        <v>43988</v>
      </c>
      <c r="L95" s="22">
        <v>308604943310</v>
      </c>
      <c r="M95" s="13" t="s">
        <v>34</v>
      </c>
      <c r="N95" s="14" t="s">
        <v>133</v>
      </c>
      <c r="O95" s="15" t="s">
        <v>385</v>
      </c>
      <c r="P95" s="17" t="s">
        <v>386</v>
      </c>
      <c r="Q95" s="17" t="s">
        <v>386</v>
      </c>
      <c r="R95" s="17">
        <v>8830468705</v>
      </c>
      <c r="S95" s="28"/>
      <c r="T95" s="7"/>
    </row>
    <row r="96" spans="1:20">
      <c r="A96" s="5">
        <v>95</v>
      </c>
      <c r="B96" s="5" t="s">
        <v>18</v>
      </c>
      <c r="C96" s="5" t="s">
        <v>387</v>
      </c>
      <c r="D96" s="6">
        <v>101235372414</v>
      </c>
      <c r="E96" s="7">
        <v>3315883972</v>
      </c>
      <c r="F96" s="35" t="s">
        <v>388</v>
      </c>
      <c r="G96" s="9" t="s">
        <v>80</v>
      </c>
      <c r="H96" s="5" t="str">
        <f>VLOOKUP(D96,'[1]Google attandance April -26'!$C:$AP,40,0)</f>
        <v>FOU80</v>
      </c>
      <c r="I96" s="10" t="s">
        <v>22</v>
      </c>
      <c r="J96" s="11">
        <v>34988</v>
      </c>
      <c r="K96" s="11">
        <v>45878</v>
      </c>
      <c r="L96" s="12"/>
      <c r="M96" s="13" t="s">
        <v>29</v>
      </c>
      <c r="N96" s="14" t="s">
        <v>389</v>
      </c>
      <c r="O96" s="15" t="s">
        <v>390</v>
      </c>
      <c r="P96" s="16"/>
      <c r="Q96" s="17"/>
      <c r="R96" s="17">
        <v>7030018954</v>
      </c>
      <c r="S96" s="7"/>
      <c r="T96" s="7"/>
    </row>
    <row r="97" spans="1:20">
      <c r="A97" s="5">
        <v>96</v>
      </c>
      <c r="B97" s="5" t="s">
        <v>18</v>
      </c>
      <c r="C97" s="5" t="s">
        <v>391</v>
      </c>
      <c r="D97" s="6">
        <v>101432431093</v>
      </c>
      <c r="E97" s="7">
        <v>3316592493</v>
      </c>
      <c r="F97" s="25" t="s">
        <v>392</v>
      </c>
      <c r="G97" s="9" t="s">
        <v>71</v>
      </c>
      <c r="H97" s="5" t="str">
        <f>VLOOKUP(D97,'[1]Google attandance April -26'!$C:$AP,40,0)</f>
        <v>FOU218</v>
      </c>
      <c r="I97" s="10" t="s">
        <v>22</v>
      </c>
      <c r="J97" s="11">
        <v>36838</v>
      </c>
      <c r="K97" s="11">
        <v>45481</v>
      </c>
      <c r="L97" s="43"/>
      <c r="M97" s="44"/>
      <c r="N97" s="14" t="s">
        <v>54</v>
      </c>
      <c r="O97" s="15" t="s">
        <v>393</v>
      </c>
      <c r="P97" s="17"/>
      <c r="Q97" s="17"/>
      <c r="R97" s="32">
        <v>7028750842</v>
      </c>
      <c r="S97" s="7"/>
      <c r="T97" s="7"/>
    </row>
  </sheetData>
  <autoFilter ref="A1:T97"/>
  <conditionalFormatting sqref="D68">
    <cfRule type="duplicateValues" dxfId="27" priority="2"/>
  </conditionalFormatting>
  <conditionalFormatting sqref="O2:O97">
    <cfRule type="duplicateValues" dxfId="26" priority="3"/>
  </conditionalFormatting>
  <conditionalFormatting sqref="D2:D67 D69:D97">
    <cfRule type="duplicateValues" dxfId="25" priority="4"/>
  </conditionalFormatting>
  <conditionalFormatting sqref="D2:D97">
    <cfRule type="duplicateValues" dxfId="24" priority="5"/>
    <cfRule type="duplicateValues" dxfId="23" priority="6"/>
  </conditionalFormatting>
  <conditionalFormatting sqref="F2:G97">
    <cfRule type="duplicateValues" dxfId="22" priority="7"/>
  </conditionalFormatting>
  <conditionalFormatting sqref="I1:XFD1 A1:G1">
    <cfRule type="duplicateValues" dxfId="21" priority="8"/>
    <cfRule type="duplicateValues" dxfId="20" priority="9"/>
  </conditionalFormatting>
  <conditionalFormatting sqref="D1">
    <cfRule type="duplicateValues" dxfId="19" priority="10"/>
    <cfRule type="duplicateValues" dxfId="18" priority="11"/>
  </conditionalFormatting>
  <conditionalFormatting sqref="F1:G1">
    <cfRule type="duplicateValues" dxfId="17" priority="12"/>
  </conditionalFormatting>
  <conditionalFormatting sqref="D1:E1">
    <cfRule type="duplicateValues" dxfId="16" priority="13"/>
  </conditionalFormatting>
  <conditionalFormatting sqref="F1:G1">
    <cfRule type="duplicateValues" dxfId="15" priority="14"/>
  </conditionalFormatting>
  <conditionalFormatting sqref="E1">
    <cfRule type="duplicateValues" dxfId="14" priority="15"/>
    <cfRule type="duplicateValues" dxfId="13" priority="16"/>
  </conditionalFormatting>
  <conditionalFormatting sqref="O1">
    <cfRule type="duplicateValues" dxfId="12" priority="17"/>
  </conditionalFormatting>
  <conditionalFormatting sqref="H1">
    <cfRule type="duplicateValues" dxfId="11" priority="18"/>
    <cfRule type="duplicateValues" dxfId="10" priority="19"/>
  </conditionalFormatting>
  <conditionalFormatting sqref="D1">
    <cfRule type="duplicateValues" dxfId="9" priority="20"/>
  </conditionalFormatting>
  <conditionalFormatting sqref="O1">
    <cfRule type="duplicateValues" dxfId="8" priority="21"/>
  </conditionalFormatting>
  <conditionalFormatting sqref="F1:G1 I1">
    <cfRule type="duplicateValues" dxfId="7" priority="22"/>
  </conditionalFormatting>
  <conditionalFormatting sqref="D1">
    <cfRule type="duplicateValues" dxfId="6" priority="23"/>
  </conditionalFormatting>
  <conditionalFormatting sqref="E1">
    <cfRule type="duplicateValues" dxfId="5" priority="24"/>
  </conditionalFormatting>
  <conditionalFormatting sqref="E1">
    <cfRule type="duplicateValues" dxfId="4" priority="25"/>
    <cfRule type="duplicateValues" dxfId="3" priority="26"/>
  </conditionalFormatting>
  <conditionalFormatting sqref="J1">
    <cfRule type="duplicateValues" dxfId="2" priority="27"/>
  </conditionalFormatting>
  <conditionalFormatting sqref="L1">
    <cfRule type="duplicateValues" dxfId="1" priority="28"/>
  </conditionalFormatting>
  <conditionalFormatting sqref="D1:E1 D98:E1048576 D2:D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Line-1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</dc:creator>
  <cp:lastModifiedBy>SSD</cp:lastModifiedBy>
  <dcterms:created xsi:type="dcterms:W3CDTF">2026-05-30T07:21:38Z</dcterms:created>
  <dcterms:modified xsi:type="dcterms:W3CDTF">2026-05-30T07:28:31Z</dcterms:modified>
</cp:coreProperties>
</file>