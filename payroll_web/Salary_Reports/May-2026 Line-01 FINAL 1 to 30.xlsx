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DEEPTI_ANTIGRAVITY\payroll_web\Salary_Reports\"/>
    </mc:Choice>
  </mc:AlternateContent>
  <xr:revisionPtr revIDLastSave="0" documentId="13_ncr:1_{807C7676-40F5-4306-9042-ED3FD458EC85}" xr6:coauthVersionLast="47" xr6:coauthVersionMax="47" xr10:uidLastSave="{00000000-0000-0000-0000-000000000000}"/>
  <bookViews>
    <workbookView xWindow="-108" yWindow="-108" windowWidth="23256" windowHeight="13176" tabRatio="842" firstSheet="5" activeTab="5" xr2:uid="{00000000-000D-0000-FFFF-FFFF00000000}"/>
  </bookViews>
  <sheets>
    <sheet name="Nilesh Send Tannage " sheetId="1" r:id="rId1"/>
    <sheet name="nilesh sir tannage" sheetId="41" r:id="rId2"/>
    <sheet name="FINAL TANNAGE AMO." sheetId="47" r:id="rId3"/>
    <sheet name="REWORK" sheetId="37" r:id="rId4"/>
    <sheet name="Google attandance May -26" sheetId="28" r:id="rId5"/>
    <sheet name="(PF) WAGESH APR-26 Line-01 " sheetId="46" r:id="rId6"/>
  </sheets>
  <externalReferences>
    <externalReference r:id="rId7"/>
  </externalReferences>
  <definedNames>
    <definedName name="_xlnm._FilterDatabase" localSheetId="5" hidden="1">'(PF) WAGESH APR-26 Line-01 '!$A$7:$AR$128</definedName>
    <definedName name="_xlnm._FilterDatabase" localSheetId="2" hidden="1">'FINAL TANNAGE AMO.'!$A$1:$X$44</definedName>
    <definedName name="_xlnm._FilterDatabase" localSheetId="4" hidden="1">'Google attandance May -26'!$A$1:$Z$116</definedName>
    <definedName name="_xlnm._FilterDatabase" localSheetId="1" hidden="1">'nilesh sir tannage'!$A$1:$T$948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5" i="46" l="1"/>
  <c r="Q126" i="46"/>
  <c r="R125" i="46"/>
  <c r="AD124" i="46"/>
  <c r="AA124" i="46"/>
  <c r="X124" i="46"/>
  <c r="W124" i="46"/>
  <c r="V124" i="46"/>
  <c r="U124" i="46"/>
  <c r="T124" i="46"/>
  <c r="H124" i="46"/>
  <c r="G124" i="46"/>
  <c r="F124" i="46"/>
  <c r="AP123" i="46"/>
  <c r="AJ123" i="46"/>
  <c r="AD123" i="46"/>
  <c r="L123" i="46"/>
  <c r="K123" i="46"/>
  <c r="J123" i="46"/>
  <c r="I123" i="46"/>
  <c r="AR123" i="46" s="1"/>
  <c r="AS123" i="46" s="1"/>
  <c r="AR122" i="46"/>
  <c r="AS122" i="46" s="1"/>
  <c r="AP122" i="46"/>
  <c r="AJ122" i="46"/>
  <c r="AD122" i="46"/>
  <c r="K122" i="46"/>
  <c r="L122" i="46" s="1"/>
  <c r="J122" i="46"/>
  <c r="I122" i="46"/>
  <c r="AP121" i="46"/>
  <c r="AJ121" i="46"/>
  <c r="AD121" i="46"/>
  <c r="K121" i="46"/>
  <c r="J121" i="46"/>
  <c r="I121" i="46"/>
  <c r="AR121" i="46" s="1"/>
  <c r="AS121" i="46" s="1"/>
  <c r="AP120" i="46"/>
  <c r="AJ120" i="46"/>
  <c r="AD120" i="46"/>
  <c r="K120" i="46"/>
  <c r="J120" i="46"/>
  <c r="L120" i="46" s="1"/>
  <c r="I120" i="46"/>
  <c r="AR120" i="46" s="1"/>
  <c r="AS120" i="46" s="1"/>
  <c r="AP119" i="46"/>
  <c r="AJ119" i="46"/>
  <c r="AD119" i="46"/>
  <c r="K119" i="46"/>
  <c r="L119" i="46" s="1"/>
  <c r="J119" i="46"/>
  <c r="I119" i="46"/>
  <c r="AR119" i="46" s="1"/>
  <c r="AS119" i="46" s="1"/>
  <c r="AP118" i="46"/>
  <c r="AJ118" i="46"/>
  <c r="AD118" i="46"/>
  <c r="K118" i="46"/>
  <c r="J118" i="46"/>
  <c r="I118" i="46"/>
  <c r="AR118" i="46" s="1"/>
  <c r="AS118" i="46" s="1"/>
  <c r="AP117" i="46"/>
  <c r="AJ117" i="46"/>
  <c r="AD117" i="46"/>
  <c r="K117" i="46"/>
  <c r="J117" i="46"/>
  <c r="I117" i="46"/>
  <c r="AR117" i="46" s="1"/>
  <c r="AS117" i="46" s="1"/>
  <c r="AP116" i="46"/>
  <c r="AJ116" i="46"/>
  <c r="AD116" i="46"/>
  <c r="K116" i="46"/>
  <c r="J116" i="46"/>
  <c r="I116" i="46"/>
  <c r="AR116" i="46" s="1"/>
  <c r="AS116" i="46" s="1"/>
  <c r="AP115" i="46"/>
  <c r="AJ115" i="46"/>
  <c r="AD115" i="46"/>
  <c r="K115" i="46"/>
  <c r="L115" i="46" s="1"/>
  <c r="J115" i="46"/>
  <c r="I115" i="46"/>
  <c r="AR115" i="46" s="1"/>
  <c r="AS115" i="46" s="1"/>
  <c r="AP114" i="46"/>
  <c r="AJ114" i="46"/>
  <c r="AD114" i="46"/>
  <c r="K114" i="46"/>
  <c r="J114" i="46"/>
  <c r="I114" i="46"/>
  <c r="AR114" i="46" s="1"/>
  <c r="AS114" i="46" s="1"/>
  <c r="AP113" i="46"/>
  <c r="AJ113" i="46"/>
  <c r="AD113" i="46"/>
  <c r="K113" i="46"/>
  <c r="J113" i="46"/>
  <c r="I113" i="46"/>
  <c r="AR113" i="46" s="1"/>
  <c r="AS113" i="46" s="1"/>
  <c r="AG112" i="46"/>
  <c r="AF112" i="46"/>
  <c r="AE112" i="46"/>
  <c r="AE124" i="46" s="1"/>
  <c r="AD112" i="46"/>
  <c r="AC112" i="46"/>
  <c r="K112" i="46"/>
  <c r="J112" i="46"/>
  <c r="I112" i="46"/>
  <c r="AR112" i="46" s="1"/>
  <c r="AS112" i="46" s="1"/>
  <c r="K111" i="46"/>
  <c r="J111" i="46"/>
  <c r="I111" i="46"/>
  <c r="AR111" i="46" s="1"/>
  <c r="AS111" i="46" s="1"/>
  <c r="K110" i="46"/>
  <c r="J110" i="46"/>
  <c r="I110" i="46"/>
  <c r="AR110" i="46" s="1"/>
  <c r="AS110" i="46" s="1"/>
  <c r="AP109" i="46"/>
  <c r="AJ109" i="46"/>
  <c r="AD109" i="46"/>
  <c r="K109" i="46"/>
  <c r="J109" i="46"/>
  <c r="L109" i="46" s="1"/>
  <c r="I109" i="46"/>
  <c r="AR109" i="46" s="1"/>
  <c r="AS109" i="46" s="1"/>
  <c r="AP108" i="46"/>
  <c r="AJ108" i="46"/>
  <c r="AD108" i="46"/>
  <c r="K108" i="46"/>
  <c r="J108" i="46"/>
  <c r="I108" i="46"/>
  <c r="AR108" i="46" s="1"/>
  <c r="AS108" i="46" s="1"/>
  <c r="K107" i="46"/>
  <c r="J107" i="46"/>
  <c r="I107" i="46"/>
  <c r="AR107" i="46" s="1"/>
  <c r="AS107" i="46" s="1"/>
  <c r="K106" i="46"/>
  <c r="J106" i="46"/>
  <c r="L106" i="46" s="1"/>
  <c r="I106" i="46"/>
  <c r="AR106" i="46" s="1"/>
  <c r="AS106" i="46" s="1"/>
  <c r="AS105" i="46"/>
  <c r="AP105" i="46"/>
  <c r="AJ105" i="46"/>
  <c r="AD105" i="46"/>
  <c r="K105" i="46"/>
  <c r="J105" i="46"/>
  <c r="I105" i="46"/>
  <c r="AR105" i="46" s="1"/>
  <c r="AP104" i="46"/>
  <c r="AJ104" i="46"/>
  <c r="AD104" i="46"/>
  <c r="K104" i="46"/>
  <c r="J104" i="46"/>
  <c r="L104" i="46" s="1"/>
  <c r="I104" i="46"/>
  <c r="AR104" i="46" s="1"/>
  <c r="AS104" i="46" s="1"/>
  <c r="AR103" i="46"/>
  <c r="AS103" i="46" s="1"/>
  <c r="K103" i="46"/>
  <c r="J103" i="46"/>
  <c r="I103" i="46"/>
  <c r="K102" i="46"/>
  <c r="J102" i="46"/>
  <c r="I102" i="46"/>
  <c r="AR102" i="46" s="1"/>
  <c r="AS102" i="46" s="1"/>
  <c r="AP101" i="46"/>
  <c r="AJ101" i="46"/>
  <c r="AD101" i="46"/>
  <c r="K101" i="46"/>
  <c r="J101" i="46"/>
  <c r="I101" i="46"/>
  <c r="AR101" i="46" s="1"/>
  <c r="AS101" i="46" s="1"/>
  <c r="AP100" i="46"/>
  <c r="AJ100" i="46"/>
  <c r="AD100" i="46"/>
  <c r="K100" i="46"/>
  <c r="L100" i="46" s="1"/>
  <c r="J100" i="46"/>
  <c r="I100" i="46"/>
  <c r="AR100" i="46" s="1"/>
  <c r="AS100" i="46" s="1"/>
  <c r="AP99" i="46"/>
  <c r="AJ99" i="46"/>
  <c r="AD99" i="46"/>
  <c r="K99" i="46"/>
  <c r="J99" i="46"/>
  <c r="I99" i="46"/>
  <c r="AR99" i="46" s="1"/>
  <c r="AS99" i="46" s="1"/>
  <c r="AS98" i="46"/>
  <c r="K98" i="46"/>
  <c r="J98" i="46"/>
  <c r="L98" i="46" s="1"/>
  <c r="I98" i="46"/>
  <c r="AR98" i="46" s="1"/>
  <c r="K97" i="46"/>
  <c r="J97" i="46"/>
  <c r="I97" i="46"/>
  <c r="AR97" i="46" s="1"/>
  <c r="AS97" i="46" s="1"/>
  <c r="AP96" i="46"/>
  <c r="AJ96" i="46"/>
  <c r="AD96" i="46"/>
  <c r="K96" i="46"/>
  <c r="J96" i="46"/>
  <c r="I96" i="46"/>
  <c r="AR96" i="46" s="1"/>
  <c r="AS96" i="46" s="1"/>
  <c r="AP95" i="46"/>
  <c r="AJ95" i="46"/>
  <c r="AD95" i="46"/>
  <c r="K95" i="46"/>
  <c r="J95" i="46"/>
  <c r="I95" i="46"/>
  <c r="AR95" i="46" s="1"/>
  <c r="AS95" i="46" s="1"/>
  <c r="AP94" i="46"/>
  <c r="AJ94" i="46"/>
  <c r="AD94" i="46"/>
  <c r="K94" i="46"/>
  <c r="J94" i="46"/>
  <c r="I94" i="46"/>
  <c r="AR94" i="46" s="1"/>
  <c r="AS94" i="46" s="1"/>
  <c r="AP93" i="46"/>
  <c r="AJ93" i="46"/>
  <c r="AD93" i="46"/>
  <c r="K93" i="46"/>
  <c r="J93" i="46"/>
  <c r="L93" i="46" s="1"/>
  <c r="I93" i="46"/>
  <c r="AR93" i="46" s="1"/>
  <c r="AS93" i="46" s="1"/>
  <c r="AP92" i="46"/>
  <c r="AJ92" i="46"/>
  <c r="AD92" i="46"/>
  <c r="K92" i="46"/>
  <c r="J92" i="46"/>
  <c r="I92" i="46"/>
  <c r="AR92" i="46" s="1"/>
  <c r="AS92" i="46" s="1"/>
  <c r="AP91" i="46"/>
  <c r="AJ91" i="46"/>
  <c r="AD91" i="46"/>
  <c r="K91" i="46"/>
  <c r="J91" i="46"/>
  <c r="L91" i="46" s="1"/>
  <c r="I91" i="46"/>
  <c r="AR91" i="46" s="1"/>
  <c r="AS91" i="46" s="1"/>
  <c r="AP90" i="46"/>
  <c r="AJ90" i="46"/>
  <c r="AF90" i="46"/>
  <c r="AD90" i="46"/>
  <c r="K90" i="46"/>
  <c r="J90" i="46"/>
  <c r="I90" i="46"/>
  <c r="AR90" i="46" s="1"/>
  <c r="AS90" i="46" s="1"/>
  <c r="AP89" i="46"/>
  <c r="AJ89" i="46"/>
  <c r="AD89" i="46"/>
  <c r="K89" i="46"/>
  <c r="J89" i="46"/>
  <c r="L89" i="46" s="1"/>
  <c r="I89" i="46"/>
  <c r="AR89" i="46" s="1"/>
  <c r="AS89" i="46" s="1"/>
  <c r="AP88" i="46"/>
  <c r="AJ88" i="46"/>
  <c r="AD88" i="46"/>
  <c r="K88" i="46"/>
  <c r="J88" i="46"/>
  <c r="I88" i="46"/>
  <c r="AR88" i="46" s="1"/>
  <c r="AS88" i="46" s="1"/>
  <c r="AP87" i="46"/>
  <c r="AJ87" i="46"/>
  <c r="AD87" i="46"/>
  <c r="K87" i="46"/>
  <c r="J87" i="46"/>
  <c r="L87" i="46" s="1"/>
  <c r="I87" i="46"/>
  <c r="AR87" i="46" s="1"/>
  <c r="AS87" i="46" s="1"/>
  <c r="AP86" i="46"/>
  <c r="AJ86" i="46"/>
  <c r="AD86" i="46"/>
  <c r="K86" i="46"/>
  <c r="J86" i="46"/>
  <c r="I86" i="46"/>
  <c r="AR86" i="46" s="1"/>
  <c r="AS86" i="46" s="1"/>
  <c r="AP85" i="46"/>
  <c r="AJ85" i="46"/>
  <c r="AD85" i="46"/>
  <c r="K85" i="46"/>
  <c r="J85" i="46"/>
  <c r="I85" i="46"/>
  <c r="AR85" i="46" s="1"/>
  <c r="AS85" i="46" s="1"/>
  <c r="AR84" i="46"/>
  <c r="AS84" i="46" s="1"/>
  <c r="AP84" i="46"/>
  <c r="AJ84" i="46"/>
  <c r="AD84" i="46"/>
  <c r="K84" i="46"/>
  <c r="J84" i="46"/>
  <c r="I84" i="46"/>
  <c r="AP83" i="46"/>
  <c r="AJ83" i="46"/>
  <c r="AD83" i="46"/>
  <c r="K83" i="46"/>
  <c r="L83" i="46" s="1"/>
  <c r="J83" i="46"/>
  <c r="I83" i="46"/>
  <c r="AR83" i="46" s="1"/>
  <c r="AS83" i="46" s="1"/>
  <c r="AP82" i="46"/>
  <c r="AJ82" i="46"/>
  <c r="AD82" i="46"/>
  <c r="K82" i="46"/>
  <c r="J82" i="46"/>
  <c r="I82" i="46"/>
  <c r="AR82" i="46" s="1"/>
  <c r="AS82" i="46" s="1"/>
  <c r="AP81" i="46"/>
  <c r="AJ81" i="46"/>
  <c r="AD81" i="46"/>
  <c r="K81" i="46"/>
  <c r="J81" i="46"/>
  <c r="I81" i="46"/>
  <c r="AR81" i="46" s="1"/>
  <c r="AS81" i="46" s="1"/>
  <c r="AP80" i="46"/>
  <c r="AJ80" i="46"/>
  <c r="AD80" i="46"/>
  <c r="K80" i="46"/>
  <c r="J80" i="46"/>
  <c r="I80" i="46"/>
  <c r="AR80" i="46" s="1"/>
  <c r="AS80" i="46" s="1"/>
  <c r="AP79" i="46"/>
  <c r="AJ79" i="46"/>
  <c r="AD79" i="46"/>
  <c r="K79" i="46"/>
  <c r="J79" i="46"/>
  <c r="I79" i="46"/>
  <c r="AR79" i="46" s="1"/>
  <c r="AS79" i="46" s="1"/>
  <c r="AP78" i="46"/>
  <c r="AJ78" i="46"/>
  <c r="AD78" i="46"/>
  <c r="K78" i="46"/>
  <c r="J78" i="46"/>
  <c r="I78" i="46"/>
  <c r="AR78" i="46" s="1"/>
  <c r="AS78" i="46" s="1"/>
  <c r="AP77" i="46"/>
  <c r="AJ77" i="46"/>
  <c r="AD77" i="46"/>
  <c r="K77" i="46"/>
  <c r="J77" i="46"/>
  <c r="I77" i="46"/>
  <c r="AR77" i="46" s="1"/>
  <c r="AS77" i="46" s="1"/>
  <c r="AP76" i="46"/>
  <c r="AJ76" i="46"/>
  <c r="AD76" i="46"/>
  <c r="K76" i="46"/>
  <c r="J76" i="46"/>
  <c r="I76" i="46"/>
  <c r="AR76" i="46" s="1"/>
  <c r="AS76" i="46" s="1"/>
  <c r="AP75" i="46"/>
  <c r="AJ75" i="46"/>
  <c r="AD75" i="46"/>
  <c r="K75" i="46"/>
  <c r="J75" i="46"/>
  <c r="I75" i="46"/>
  <c r="AR75" i="46" s="1"/>
  <c r="AS75" i="46" s="1"/>
  <c r="AP74" i="46"/>
  <c r="AJ74" i="46"/>
  <c r="AD74" i="46"/>
  <c r="L74" i="46"/>
  <c r="K74" i="46"/>
  <c r="J74" i="46"/>
  <c r="I74" i="46"/>
  <c r="AR74" i="46" s="1"/>
  <c r="AS74" i="46" s="1"/>
  <c r="AP73" i="46"/>
  <c r="AJ73" i="46"/>
  <c r="AD73" i="46"/>
  <c r="K73" i="46"/>
  <c r="J73" i="46"/>
  <c r="L73" i="46" s="1"/>
  <c r="I73" i="46"/>
  <c r="AR73" i="46" s="1"/>
  <c r="AS73" i="46" s="1"/>
  <c r="AR72" i="46"/>
  <c r="AS72" i="46" s="1"/>
  <c r="AP72" i="46"/>
  <c r="AJ72" i="46"/>
  <c r="AD72" i="46"/>
  <c r="K72" i="46"/>
  <c r="J72" i="46"/>
  <c r="L72" i="46" s="1"/>
  <c r="I72" i="46"/>
  <c r="AP71" i="46"/>
  <c r="AJ71" i="46"/>
  <c r="AD71" i="46"/>
  <c r="K71" i="46"/>
  <c r="J71" i="46"/>
  <c r="I71" i="46"/>
  <c r="AR71" i="46" s="1"/>
  <c r="AS71" i="46" s="1"/>
  <c r="AP70" i="46"/>
  <c r="AJ70" i="46"/>
  <c r="AD70" i="46"/>
  <c r="K70" i="46"/>
  <c r="J70" i="46"/>
  <c r="I70" i="46"/>
  <c r="AR70" i="46" s="1"/>
  <c r="AS70" i="46" s="1"/>
  <c r="AP69" i="46"/>
  <c r="AJ69" i="46"/>
  <c r="AD69" i="46"/>
  <c r="K69" i="46"/>
  <c r="J69" i="46"/>
  <c r="I69" i="46"/>
  <c r="AR69" i="46" s="1"/>
  <c r="AS69" i="46" s="1"/>
  <c r="AP68" i="46"/>
  <c r="AJ68" i="46"/>
  <c r="AD68" i="46"/>
  <c r="K68" i="46"/>
  <c r="J68" i="46"/>
  <c r="I68" i="46"/>
  <c r="AR68" i="46" s="1"/>
  <c r="AS68" i="46" s="1"/>
  <c r="AP67" i="46"/>
  <c r="AJ67" i="46"/>
  <c r="AD67" i="46"/>
  <c r="K67" i="46"/>
  <c r="J67" i="46"/>
  <c r="L67" i="46" s="1"/>
  <c r="I67" i="46"/>
  <c r="AR67" i="46" s="1"/>
  <c r="AS67" i="46" s="1"/>
  <c r="AP66" i="46"/>
  <c r="AJ66" i="46"/>
  <c r="AD66" i="46"/>
  <c r="K66" i="46"/>
  <c r="J66" i="46"/>
  <c r="I66" i="46"/>
  <c r="AR66" i="46" s="1"/>
  <c r="AS66" i="46" s="1"/>
  <c r="AS65" i="46"/>
  <c r="AP65" i="46"/>
  <c r="AJ65" i="46"/>
  <c r="AD65" i="46"/>
  <c r="K65" i="46"/>
  <c r="J65" i="46"/>
  <c r="L65" i="46" s="1"/>
  <c r="I65" i="46"/>
  <c r="AR65" i="46" s="1"/>
  <c r="AP64" i="46"/>
  <c r="AJ64" i="46"/>
  <c r="AD64" i="46"/>
  <c r="K64" i="46"/>
  <c r="J64" i="46"/>
  <c r="I64" i="46"/>
  <c r="AR64" i="46" s="1"/>
  <c r="AS64" i="46" s="1"/>
  <c r="AP63" i="46"/>
  <c r="AJ63" i="46"/>
  <c r="AD63" i="46"/>
  <c r="K63" i="46"/>
  <c r="J63" i="46"/>
  <c r="I63" i="46"/>
  <c r="AR63" i="46" s="1"/>
  <c r="AS63" i="46" s="1"/>
  <c r="AP62" i="46"/>
  <c r="AJ62" i="46"/>
  <c r="AD62" i="46"/>
  <c r="K62" i="46"/>
  <c r="J62" i="46"/>
  <c r="I62" i="46"/>
  <c r="AR62" i="46" s="1"/>
  <c r="AS62" i="46" s="1"/>
  <c r="AR61" i="46"/>
  <c r="AS61" i="46" s="1"/>
  <c r="AP61" i="46"/>
  <c r="AJ61" i="46"/>
  <c r="AD61" i="46"/>
  <c r="K61" i="46"/>
  <c r="J61" i="46"/>
  <c r="I61" i="46"/>
  <c r="AP60" i="46"/>
  <c r="AJ60" i="46"/>
  <c r="AD60" i="46"/>
  <c r="K60" i="46"/>
  <c r="J60" i="46"/>
  <c r="L60" i="46" s="1"/>
  <c r="I60" i="46"/>
  <c r="AR60" i="46" s="1"/>
  <c r="AS60" i="46" s="1"/>
  <c r="AP59" i="46"/>
  <c r="AJ59" i="46"/>
  <c r="AD59" i="46"/>
  <c r="K59" i="46"/>
  <c r="J59" i="46"/>
  <c r="I59" i="46"/>
  <c r="AR59" i="46" s="1"/>
  <c r="AS59" i="46" s="1"/>
  <c r="AP58" i="46"/>
  <c r="AD58" i="46"/>
  <c r="K58" i="46"/>
  <c r="L58" i="46" s="1"/>
  <c r="J58" i="46"/>
  <c r="I58" i="46"/>
  <c r="AR58" i="46" s="1"/>
  <c r="AS58" i="46" s="1"/>
  <c r="AP57" i="46"/>
  <c r="AJ57" i="46"/>
  <c r="AD57" i="46"/>
  <c r="K57" i="46"/>
  <c r="J57" i="46"/>
  <c r="I57" i="46"/>
  <c r="AR57" i="46" s="1"/>
  <c r="AS57" i="46" s="1"/>
  <c r="AP56" i="46"/>
  <c r="AJ56" i="46"/>
  <c r="AD56" i="46"/>
  <c r="K56" i="46"/>
  <c r="J56" i="46"/>
  <c r="I56" i="46"/>
  <c r="AR56" i="46" s="1"/>
  <c r="AS56" i="46" s="1"/>
  <c r="AP55" i="46"/>
  <c r="AJ55" i="46"/>
  <c r="AD55" i="46"/>
  <c r="K55" i="46"/>
  <c r="J55" i="46"/>
  <c r="I55" i="46"/>
  <c r="AR55" i="46" s="1"/>
  <c r="AS55" i="46" s="1"/>
  <c r="AP54" i="46"/>
  <c r="AJ54" i="46"/>
  <c r="AD54" i="46"/>
  <c r="K54" i="46"/>
  <c r="J54" i="46"/>
  <c r="I54" i="46"/>
  <c r="AR54" i="46" s="1"/>
  <c r="AS54" i="46" s="1"/>
  <c r="AP53" i="46"/>
  <c r="AJ53" i="46"/>
  <c r="AD53" i="46"/>
  <c r="L53" i="46"/>
  <c r="K53" i="46"/>
  <c r="J53" i="46"/>
  <c r="I53" i="46"/>
  <c r="AR53" i="46" s="1"/>
  <c r="AS53" i="46" s="1"/>
  <c r="AR52" i="46"/>
  <c r="AS52" i="46" s="1"/>
  <c r="AP52" i="46"/>
  <c r="AJ52" i="46"/>
  <c r="AD52" i="46"/>
  <c r="K52" i="46"/>
  <c r="J52" i="46"/>
  <c r="L52" i="46" s="1"/>
  <c r="I52" i="46"/>
  <c r="AP51" i="46"/>
  <c r="AJ51" i="46"/>
  <c r="AD51" i="46"/>
  <c r="K51" i="46"/>
  <c r="J51" i="46"/>
  <c r="L51" i="46" s="1"/>
  <c r="I51" i="46"/>
  <c r="AR51" i="46" s="1"/>
  <c r="AS51" i="46" s="1"/>
  <c r="AP50" i="46"/>
  <c r="AJ50" i="46"/>
  <c r="AD50" i="46"/>
  <c r="K50" i="46"/>
  <c r="J50" i="46"/>
  <c r="L50" i="46" s="1"/>
  <c r="I50" i="46"/>
  <c r="AR50" i="46" s="1"/>
  <c r="AS50" i="46" s="1"/>
  <c r="AP49" i="46"/>
  <c r="AJ49" i="46"/>
  <c r="AD49" i="46"/>
  <c r="K49" i="46"/>
  <c r="J49" i="46"/>
  <c r="I49" i="46"/>
  <c r="AR49" i="46" s="1"/>
  <c r="AS49" i="46" s="1"/>
  <c r="AP48" i="46"/>
  <c r="AJ48" i="46"/>
  <c r="AD48" i="46"/>
  <c r="K48" i="46"/>
  <c r="J48" i="46"/>
  <c r="I48" i="46"/>
  <c r="AR48" i="46" s="1"/>
  <c r="AS48" i="46" s="1"/>
  <c r="AP47" i="46"/>
  <c r="AJ47" i="46"/>
  <c r="AD47" i="46"/>
  <c r="K47" i="46"/>
  <c r="L47" i="46" s="1"/>
  <c r="J47" i="46"/>
  <c r="I47" i="46"/>
  <c r="AR47" i="46" s="1"/>
  <c r="AS47" i="46" s="1"/>
  <c r="AP46" i="46"/>
  <c r="AJ46" i="46"/>
  <c r="AD46" i="46"/>
  <c r="K46" i="46"/>
  <c r="J46" i="46"/>
  <c r="I46" i="46"/>
  <c r="AR46" i="46" s="1"/>
  <c r="AS46" i="46" s="1"/>
  <c r="AP45" i="46"/>
  <c r="AJ45" i="46"/>
  <c r="AD45" i="46"/>
  <c r="K45" i="46"/>
  <c r="J45" i="46"/>
  <c r="L45" i="46" s="1"/>
  <c r="I45" i="46"/>
  <c r="AR45" i="46" s="1"/>
  <c r="AS45" i="46" s="1"/>
  <c r="AP44" i="46"/>
  <c r="AJ44" i="46"/>
  <c r="AD44" i="46"/>
  <c r="K44" i="46"/>
  <c r="J44" i="46"/>
  <c r="I44" i="46"/>
  <c r="AR44" i="46" s="1"/>
  <c r="AS44" i="46" s="1"/>
  <c r="AP43" i="46"/>
  <c r="AJ43" i="46"/>
  <c r="AD43" i="46"/>
  <c r="K43" i="46"/>
  <c r="J43" i="46"/>
  <c r="I43" i="46"/>
  <c r="AR43" i="46" s="1"/>
  <c r="AS43" i="46" s="1"/>
  <c r="AP42" i="46"/>
  <c r="AJ42" i="46"/>
  <c r="AD42" i="46"/>
  <c r="K42" i="46"/>
  <c r="J42" i="46"/>
  <c r="I42" i="46"/>
  <c r="AR42" i="46" s="1"/>
  <c r="AS42" i="46" s="1"/>
  <c r="AP41" i="46"/>
  <c r="AJ41" i="46"/>
  <c r="AD41" i="46"/>
  <c r="K41" i="46"/>
  <c r="J41" i="46"/>
  <c r="L41" i="46" s="1"/>
  <c r="I41" i="46"/>
  <c r="AR41" i="46" s="1"/>
  <c r="AS41" i="46" s="1"/>
  <c r="AP40" i="46"/>
  <c r="AJ40" i="46"/>
  <c r="AD40" i="46"/>
  <c r="K40" i="46"/>
  <c r="J40" i="46"/>
  <c r="I40" i="46"/>
  <c r="AR40" i="46" s="1"/>
  <c r="AS40" i="46" s="1"/>
  <c r="AP39" i="46"/>
  <c r="AJ39" i="46"/>
  <c r="AD39" i="46"/>
  <c r="K39" i="46"/>
  <c r="J39" i="46"/>
  <c r="I39" i="46"/>
  <c r="AR39" i="46" s="1"/>
  <c r="AS39" i="46" s="1"/>
  <c r="AP38" i="46"/>
  <c r="AJ38" i="46"/>
  <c r="AD38" i="46"/>
  <c r="K38" i="46"/>
  <c r="J38" i="46"/>
  <c r="L38" i="46" s="1"/>
  <c r="I38" i="46"/>
  <c r="AR38" i="46" s="1"/>
  <c r="AS38" i="46" s="1"/>
  <c r="AP37" i="46"/>
  <c r="AJ37" i="46"/>
  <c r="AD37" i="46"/>
  <c r="K37" i="46"/>
  <c r="J37" i="46"/>
  <c r="L37" i="46" s="1"/>
  <c r="I37" i="46"/>
  <c r="AR37" i="46" s="1"/>
  <c r="AS37" i="46" s="1"/>
  <c r="AP36" i="46"/>
  <c r="AJ36" i="46"/>
  <c r="AD36" i="46"/>
  <c r="K36" i="46"/>
  <c r="J36" i="46"/>
  <c r="I36" i="46"/>
  <c r="AR36" i="46" s="1"/>
  <c r="AS36" i="46" s="1"/>
  <c r="AP35" i="46"/>
  <c r="AJ35" i="46"/>
  <c r="AD35" i="46"/>
  <c r="K35" i="46"/>
  <c r="J35" i="46"/>
  <c r="I35" i="46"/>
  <c r="AR35" i="46" s="1"/>
  <c r="AS35" i="46" s="1"/>
  <c r="AP34" i="46"/>
  <c r="AJ34" i="46"/>
  <c r="AD34" i="46"/>
  <c r="K34" i="46"/>
  <c r="J34" i="46"/>
  <c r="L34" i="46" s="1"/>
  <c r="I34" i="46"/>
  <c r="AR34" i="46" s="1"/>
  <c r="AS34" i="46" s="1"/>
  <c r="AP33" i="46"/>
  <c r="AJ33" i="46"/>
  <c r="AD33" i="46"/>
  <c r="K33" i="46"/>
  <c r="J33" i="46"/>
  <c r="I33" i="46"/>
  <c r="AR33" i="46" s="1"/>
  <c r="AS33" i="46" s="1"/>
  <c r="AP32" i="46"/>
  <c r="AJ32" i="46"/>
  <c r="AD32" i="46"/>
  <c r="K32" i="46"/>
  <c r="J32" i="46"/>
  <c r="I32" i="46"/>
  <c r="AR32" i="46" s="1"/>
  <c r="AS32" i="46" s="1"/>
  <c r="AP31" i="46"/>
  <c r="AJ31" i="46"/>
  <c r="AD31" i="46"/>
  <c r="K31" i="46"/>
  <c r="J31" i="46"/>
  <c r="L31" i="46" s="1"/>
  <c r="I31" i="46"/>
  <c r="AR31" i="46" s="1"/>
  <c r="AS31" i="46" s="1"/>
  <c r="AP30" i="46"/>
  <c r="AJ30" i="46"/>
  <c r="AD30" i="46"/>
  <c r="K30" i="46"/>
  <c r="J30" i="46"/>
  <c r="I30" i="46"/>
  <c r="AR30" i="46" s="1"/>
  <c r="AS30" i="46" s="1"/>
  <c r="AP29" i="46"/>
  <c r="AJ29" i="46"/>
  <c r="AD29" i="46"/>
  <c r="K29" i="46"/>
  <c r="J29" i="46"/>
  <c r="I29" i="46"/>
  <c r="AR29" i="46" s="1"/>
  <c r="AS29" i="46" s="1"/>
  <c r="AP28" i="46"/>
  <c r="AJ28" i="46"/>
  <c r="AD28" i="46"/>
  <c r="K28" i="46"/>
  <c r="J28" i="46"/>
  <c r="I28" i="46"/>
  <c r="AR28" i="46" s="1"/>
  <c r="AS28" i="46" s="1"/>
  <c r="AP27" i="46"/>
  <c r="AJ27" i="46"/>
  <c r="AD27" i="46"/>
  <c r="K27" i="46"/>
  <c r="L27" i="46" s="1"/>
  <c r="J27" i="46"/>
  <c r="I27" i="46"/>
  <c r="AR27" i="46" s="1"/>
  <c r="AS27" i="46" s="1"/>
  <c r="AP26" i="46"/>
  <c r="AJ26" i="46"/>
  <c r="AD26" i="46"/>
  <c r="K26" i="46"/>
  <c r="J26" i="46"/>
  <c r="I26" i="46"/>
  <c r="AR26" i="46" s="1"/>
  <c r="AS26" i="46" s="1"/>
  <c r="AR25" i="46"/>
  <c r="AS25" i="46" s="1"/>
  <c r="AP25" i="46"/>
  <c r="AJ25" i="46"/>
  <c r="AD25" i="46"/>
  <c r="K25" i="46"/>
  <c r="J25" i="46"/>
  <c r="I25" i="46"/>
  <c r="AP24" i="46"/>
  <c r="AJ24" i="46"/>
  <c r="AD24" i="46"/>
  <c r="K24" i="46"/>
  <c r="J24" i="46"/>
  <c r="I24" i="46"/>
  <c r="AR24" i="46" s="1"/>
  <c r="AS24" i="46" s="1"/>
  <c r="AP23" i="46"/>
  <c r="AJ23" i="46"/>
  <c r="AD23" i="46"/>
  <c r="K23" i="46"/>
  <c r="J23" i="46"/>
  <c r="L23" i="46" s="1"/>
  <c r="I23" i="46"/>
  <c r="AR23" i="46" s="1"/>
  <c r="AS23" i="46" s="1"/>
  <c r="AP22" i="46"/>
  <c r="AJ22" i="46"/>
  <c r="AD22" i="46"/>
  <c r="K22" i="46"/>
  <c r="J22" i="46"/>
  <c r="I22" i="46"/>
  <c r="AR22" i="46" s="1"/>
  <c r="AS22" i="46" s="1"/>
  <c r="AP21" i="46"/>
  <c r="AJ21" i="46"/>
  <c r="AD21" i="46"/>
  <c r="K21" i="46"/>
  <c r="J21" i="46"/>
  <c r="I21" i="46"/>
  <c r="AR21" i="46" s="1"/>
  <c r="AS21" i="46" s="1"/>
  <c r="AP20" i="46"/>
  <c r="AJ20" i="46"/>
  <c r="AD20" i="46"/>
  <c r="K20" i="46"/>
  <c r="J20" i="46"/>
  <c r="L20" i="46" s="1"/>
  <c r="I20" i="46"/>
  <c r="AR20" i="46" s="1"/>
  <c r="AS20" i="46" s="1"/>
  <c r="AP19" i="46"/>
  <c r="AJ19" i="46"/>
  <c r="AD19" i="46"/>
  <c r="K19" i="46"/>
  <c r="J19" i="46"/>
  <c r="I19" i="46"/>
  <c r="AR19" i="46" s="1"/>
  <c r="AS19" i="46" s="1"/>
  <c r="AP18" i="46"/>
  <c r="AJ18" i="46"/>
  <c r="AD18" i="46"/>
  <c r="K18" i="46"/>
  <c r="J18" i="46"/>
  <c r="I18" i="46"/>
  <c r="AR18" i="46" s="1"/>
  <c r="AS18" i="46" s="1"/>
  <c r="AP17" i="46"/>
  <c r="AJ17" i="46"/>
  <c r="AD17" i="46"/>
  <c r="K17" i="46"/>
  <c r="L17" i="46" s="1"/>
  <c r="J17" i="46"/>
  <c r="I17" i="46"/>
  <c r="AR17" i="46" s="1"/>
  <c r="AS17" i="46" s="1"/>
  <c r="AP16" i="46"/>
  <c r="AJ16" i="46"/>
  <c r="AD16" i="46"/>
  <c r="K16" i="46"/>
  <c r="J16" i="46"/>
  <c r="I16" i="46"/>
  <c r="AR16" i="46" s="1"/>
  <c r="AS16" i="46" s="1"/>
  <c r="AP15" i="46"/>
  <c r="AJ15" i="46"/>
  <c r="AD15" i="46"/>
  <c r="K15" i="46"/>
  <c r="L15" i="46" s="1"/>
  <c r="J15" i="46"/>
  <c r="I15" i="46"/>
  <c r="AR15" i="46" s="1"/>
  <c r="AS15" i="46" s="1"/>
  <c r="AP14" i="46"/>
  <c r="AJ14" i="46"/>
  <c r="AD14" i="46"/>
  <c r="K14" i="46"/>
  <c r="J14" i="46"/>
  <c r="I14" i="46"/>
  <c r="AR14" i="46" s="1"/>
  <c r="AS14" i="46" s="1"/>
  <c r="AP13" i="46"/>
  <c r="AJ13" i="46"/>
  <c r="AD13" i="46"/>
  <c r="K13" i="46"/>
  <c r="J13" i="46"/>
  <c r="I13" i="46"/>
  <c r="AR13" i="46" s="1"/>
  <c r="AS13" i="46" s="1"/>
  <c r="AP12" i="46"/>
  <c r="AJ12" i="46"/>
  <c r="AD12" i="46"/>
  <c r="L12" i="46"/>
  <c r="K12" i="46"/>
  <c r="J12" i="46"/>
  <c r="I12" i="46"/>
  <c r="M5" i="46"/>
  <c r="R3" i="46"/>
  <c r="R4" i="46" s="1"/>
  <c r="M3" i="46"/>
  <c r="D3" i="46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Y115" i="28"/>
  <c r="W115" i="28"/>
  <c r="V115" i="28"/>
  <c r="U115" i="28"/>
  <c r="Y114" i="28"/>
  <c r="W114" i="28"/>
  <c r="V114" i="28"/>
  <c r="U114" i="28"/>
  <c r="Y113" i="28"/>
  <c r="W113" i="28"/>
  <c r="V113" i="28"/>
  <c r="U113" i="28"/>
  <c r="Y112" i="28"/>
  <c r="W112" i="28"/>
  <c r="V112" i="28"/>
  <c r="Z112" i="28" s="1"/>
  <c r="U112" i="28"/>
  <c r="Y111" i="28"/>
  <c r="W111" i="28"/>
  <c r="V111" i="28"/>
  <c r="U111" i="28"/>
  <c r="Y110" i="28"/>
  <c r="W110" i="28"/>
  <c r="V110" i="28"/>
  <c r="U110" i="28"/>
  <c r="Y109" i="28"/>
  <c r="W109" i="28"/>
  <c r="V109" i="28"/>
  <c r="U109" i="28"/>
  <c r="Y108" i="28"/>
  <c r="W108" i="28"/>
  <c r="V108" i="28"/>
  <c r="Z108" i="28" s="1"/>
  <c r="U108" i="28"/>
  <c r="Y107" i="28"/>
  <c r="W107" i="28"/>
  <c r="V107" i="28"/>
  <c r="U107" i="28"/>
  <c r="Y106" i="28"/>
  <c r="W106" i="28"/>
  <c r="V106" i="28"/>
  <c r="U106" i="28"/>
  <c r="Y105" i="28"/>
  <c r="W105" i="28"/>
  <c r="V105" i="28"/>
  <c r="U105" i="28"/>
  <c r="Y104" i="28"/>
  <c r="W104" i="28"/>
  <c r="V104" i="28"/>
  <c r="U104" i="28"/>
  <c r="Y103" i="28"/>
  <c r="W103" i="28"/>
  <c r="V103" i="28"/>
  <c r="U103" i="28"/>
  <c r="Y102" i="28"/>
  <c r="W102" i="28"/>
  <c r="V102" i="28"/>
  <c r="U102" i="28"/>
  <c r="Y101" i="28"/>
  <c r="W101" i="28"/>
  <c r="V101" i="28"/>
  <c r="U101" i="28"/>
  <c r="Y100" i="28"/>
  <c r="W100" i="28"/>
  <c r="V100" i="28"/>
  <c r="Z100" i="28" s="1"/>
  <c r="U100" i="28"/>
  <c r="Y99" i="28"/>
  <c r="W99" i="28"/>
  <c r="V99" i="28"/>
  <c r="U99" i="28"/>
  <c r="Y98" i="28"/>
  <c r="W98" i="28"/>
  <c r="V98" i="28"/>
  <c r="U98" i="28"/>
  <c r="Y97" i="28"/>
  <c r="W97" i="28"/>
  <c r="V97" i="28"/>
  <c r="U97" i="28"/>
  <c r="Y96" i="28"/>
  <c r="W96" i="28"/>
  <c r="V96" i="28"/>
  <c r="U96" i="28"/>
  <c r="Y95" i="28"/>
  <c r="W95" i="28"/>
  <c r="V95" i="28"/>
  <c r="U95" i="28"/>
  <c r="Y94" i="28"/>
  <c r="W94" i="28"/>
  <c r="V94" i="28"/>
  <c r="U94" i="28"/>
  <c r="Y93" i="28"/>
  <c r="W93" i="28"/>
  <c r="V93" i="28"/>
  <c r="U93" i="28"/>
  <c r="Y92" i="28"/>
  <c r="W92" i="28"/>
  <c r="V92" i="28"/>
  <c r="U92" i="28"/>
  <c r="Y91" i="28"/>
  <c r="W91" i="28"/>
  <c r="V91" i="28"/>
  <c r="U91" i="28"/>
  <c r="Y90" i="28"/>
  <c r="W90" i="28"/>
  <c r="V90" i="28"/>
  <c r="U90" i="28"/>
  <c r="Y89" i="28"/>
  <c r="W89" i="28"/>
  <c r="V89" i="28"/>
  <c r="U89" i="28"/>
  <c r="Y88" i="28"/>
  <c r="W88" i="28"/>
  <c r="V88" i="28"/>
  <c r="U88" i="28"/>
  <c r="Y87" i="28"/>
  <c r="W87" i="28"/>
  <c r="V87" i="28"/>
  <c r="U87" i="28"/>
  <c r="Y86" i="28"/>
  <c r="W86" i="28"/>
  <c r="V86" i="28"/>
  <c r="U86" i="28"/>
  <c r="Y85" i="28"/>
  <c r="W85" i="28"/>
  <c r="V85" i="28"/>
  <c r="U85" i="28"/>
  <c r="Y84" i="28"/>
  <c r="W84" i="28"/>
  <c r="V84" i="28"/>
  <c r="U84" i="28"/>
  <c r="Y83" i="28"/>
  <c r="W83" i="28"/>
  <c r="V83" i="28"/>
  <c r="U83" i="28"/>
  <c r="Y82" i="28"/>
  <c r="W82" i="28"/>
  <c r="V82" i="28"/>
  <c r="U82" i="28"/>
  <c r="Y81" i="28"/>
  <c r="W81" i="28"/>
  <c r="V81" i="28"/>
  <c r="Z81" i="28" s="1"/>
  <c r="U81" i="28"/>
  <c r="Y80" i="28"/>
  <c r="W80" i="28"/>
  <c r="V80" i="28"/>
  <c r="U80" i="28"/>
  <c r="Y79" i="28"/>
  <c r="W79" i="28"/>
  <c r="V79" i="28"/>
  <c r="U79" i="28"/>
  <c r="Y78" i="28"/>
  <c r="W78" i="28"/>
  <c r="V78" i="28"/>
  <c r="U78" i="28"/>
  <c r="Y77" i="28"/>
  <c r="W77" i="28"/>
  <c r="V77" i="28"/>
  <c r="U77" i="28"/>
  <c r="Y76" i="28"/>
  <c r="W76" i="28"/>
  <c r="V76" i="28"/>
  <c r="U76" i="28"/>
  <c r="Y75" i="28"/>
  <c r="W75" i="28"/>
  <c r="V75" i="28"/>
  <c r="U75" i="28"/>
  <c r="Y74" i="28"/>
  <c r="W74" i="28"/>
  <c r="V74" i="28"/>
  <c r="U74" i="28"/>
  <c r="Y73" i="28"/>
  <c r="W73" i="28"/>
  <c r="V73" i="28"/>
  <c r="U73" i="28"/>
  <c r="Y72" i="28"/>
  <c r="W72" i="28"/>
  <c r="V72" i="28"/>
  <c r="U72" i="28"/>
  <c r="Y71" i="28"/>
  <c r="W71" i="28"/>
  <c r="V71" i="28"/>
  <c r="U71" i="28"/>
  <c r="Y70" i="28"/>
  <c r="W70" i="28"/>
  <c r="V70" i="28"/>
  <c r="U70" i="28"/>
  <c r="Y69" i="28"/>
  <c r="W69" i="28"/>
  <c r="V69" i="28"/>
  <c r="U69" i="28"/>
  <c r="Y68" i="28"/>
  <c r="W68" i="28"/>
  <c r="V68" i="28"/>
  <c r="U68" i="28"/>
  <c r="Y67" i="28"/>
  <c r="W67" i="28"/>
  <c r="V67" i="28"/>
  <c r="U67" i="28"/>
  <c r="Y66" i="28"/>
  <c r="W66" i="28"/>
  <c r="V66" i="28"/>
  <c r="U66" i="28"/>
  <c r="Y65" i="28"/>
  <c r="W65" i="28"/>
  <c r="V65" i="28"/>
  <c r="U65" i="28"/>
  <c r="Y64" i="28"/>
  <c r="W64" i="28"/>
  <c r="V64" i="28"/>
  <c r="Z64" i="28" s="1"/>
  <c r="U64" i="28"/>
  <c r="Y63" i="28"/>
  <c r="W63" i="28"/>
  <c r="V63" i="28"/>
  <c r="U63" i="28"/>
  <c r="Y62" i="28"/>
  <c r="W62" i="28"/>
  <c r="V62" i="28"/>
  <c r="U62" i="28"/>
  <c r="Y61" i="28"/>
  <c r="W61" i="28"/>
  <c r="V61" i="28"/>
  <c r="U61" i="28"/>
  <c r="Y60" i="28"/>
  <c r="W60" i="28"/>
  <c r="V60" i="28"/>
  <c r="Z60" i="28" s="1"/>
  <c r="U60" i="28"/>
  <c r="Y59" i="28"/>
  <c r="W59" i="28"/>
  <c r="V59" i="28"/>
  <c r="U59" i="28"/>
  <c r="Y58" i="28"/>
  <c r="W58" i="28"/>
  <c r="V58" i="28"/>
  <c r="U58" i="28"/>
  <c r="Y57" i="28"/>
  <c r="W57" i="28"/>
  <c r="V57" i="28"/>
  <c r="U57" i="28"/>
  <c r="Y56" i="28"/>
  <c r="W56" i="28"/>
  <c r="V56" i="28"/>
  <c r="U56" i="28"/>
  <c r="Y55" i="28"/>
  <c r="W55" i="28"/>
  <c r="V55" i="28"/>
  <c r="Z55" i="28" s="1"/>
  <c r="U55" i="28"/>
  <c r="Y54" i="28"/>
  <c r="W54" i="28"/>
  <c r="V54" i="28"/>
  <c r="U54" i="28"/>
  <c r="Y53" i="28"/>
  <c r="W53" i="28"/>
  <c r="V53" i="28"/>
  <c r="U53" i="28"/>
  <c r="Y52" i="28"/>
  <c r="W52" i="28"/>
  <c r="V52" i="28"/>
  <c r="Z52" i="28" s="1"/>
  <c r="U52" i="28"/>
  <c r="Y51" i="28"/>
  <c r="W51" i="28"/>
  <c r="V51" i="28"/>
  <c r="U51" i="28"/>
  <c r="Y50" i="28"/>
  <c r="W50" i="28"/>
  <c r="V50" i="28"/>
  <c r="U50" i="28"/>
  <c r="Y49" i="28"/>
  <c r="W49" i="28"/>
  <c r="V49" i="28"/>
  <c r="Z49" i="28" s="1"/>
  <c r="U49" i="28"/>
  <c r="Y48" i="28"/>
  <c r="W48" i="28"/>
  <c r="V48" i="28"/>
  <c r="U48" i="28"/>
  <c r="Y47" i="28"/>
  <c r="W47" i="28"/>
  <c r="V47" i="28"/>
  <c r="U47" i="28"/>
  <c r="Y46" i="28"/>
  <c r="W46" i="28"/>
  <c r="V46" i="28"/>
  <c r="U46" i="28"/>
  <c r="Y45" i="28"/>
  <c r="W45" i="28"/>
  <c r="V45" i="28"/>
  <c r="U45" i="28"/>
  <c r="Y44" i="28"/>
  <c r="W44" i="28"/>
  <c r="V44" i="28"/>
  <c r="Z44" i="28" s="1"/>
  <c r="U44" i="28"/>
  <c r="Y43" i="28"/>
  <c r="W43" i="28"/>
  <c r="V43" i="28"/>
  <c r="U43" i="28"/>
  <c r="Y42" i="28"/>
  <c r="W42" i="28"/>
  <c r="V42" i="28"/>
  <c r="Z42" i="28" s="1"/>
  <c r="U42" i="28"/>
  <c r="Y41" i="28"/>
  <c r="W41" i="28"/>
  <c r="V41" i="28"/>
  <c r="U41" i="28"/>
  <c r="Y40" i="28"/>
  <c r="W40" i="28"/>
  <c r="V40" i="28"/>
  <c r="U40" i="28"/>
  <c r="Y39" i="28"/>
  <c r="W39" i="28"/>
  <c r="V39" i="28"/>
  <c r="U39" i="28"/>
  <c r="Y38" i="28"/>
  <c r="W38" i="28"/>
  <c r="V38" i="28"/>
  <c r="Z38" i="28" s="1"/>
  <c r="U38" i="28"/>
  <c r="Y37" i="28"/>
  <c r="W37" i="28"/>
  <c r="V37" i="28"/>
  <c r="U37" i="28"/>
  <c r="Y36" i="28"/>
  <c r="W36" i="28"/>
  <c r="V36" i="28"/>
  <c r="U36" i="28"/>
  <c r="Y35" i="28"/>
  <c r="W35" i="28"/>
  <c r="V35" i="28"/>
  <c r="U35" i="28"/>
  <c r="Y34" i="28"/>
  <c r="W34" i="28"/>
  <c r="V34" i="28"/>
  <c r="U34" i="28"/>
  <c r="Y33" i="28"/>
  <c r="W33" i="28"/>
  <c r="V33" i="28"/>
  <c r="U33" i="28"/>
  <c r="Y32" i="28"/>
  <c r="W32" i="28"/>
  <c r="V32" i="28"/>
  <c r="U32" i="28"/>
  <c r="Y31" i="28"/>
  <c r="W31" i="28"/>
  <c r="V31" i="28"/>
  <c r="U31" i="28"/>
  <c r="Y30" i="28"/>
  <c r="W30" i="28"/>
  <c r="V30" i="28"/>
  <c r="U30" i="28"/>
  <c r="Y29" i="28"/>
  <c r="W29" i="28"/>
  <c r="V29" i="28"/>
  <c r="U29" i="28"/>
  <c r="Y28" i="28"/>
  <c r="W28" i="28"/>
  <c r="V28" i="28"/>
  <c r="Z28" i="28" s="1"/>
  <c r="U28" i="28"/>
  <c r="Y27" i="28"/>
  <c r="W27" i="28"/>
  <c r="V27" i="28"/>
  <c r="U27" i="28"/>
  <c r="Y26" i="28"/>
  <c r="W26" i="28"/>
  <c r="V26" i="28"/>
  <c r="U26" i="28"/>
  <c r="Y25" i="28"/>
  <c r="W25" i="28"/>
  <c r="V25" i="28"/>
  <c r="U25" i="28"/>
  <c r="Y24" i="28"/>
  <c r="W24" i="28"/>
  <c r="V24" i="28"/>
  <c r="U24" i="28"/>
  <c r="Y23" i="28"/>
  <c r="W23" i="28"/>
  <c r="V23" i="28"/>
  <c r="U23" i="28"/>
  <c r="Y22" i="28"/>
  <c r="W22" i="28"/>
  <c r="V22" i="28"/>
  <c r="U22" i="28"/>
  <c r="Y21" i="28"/>
  <c r="W21" i="28"/>
  <c r="V21" i="28"/>
  <c r="U21" i="28"/>
  <c r="Y20" i="28"/>
  <c r="W20" i="28"/>
  <c r="V20" i="28"/>
  <c r="U20" i="28"/>
  <c r="Y19" i="28"/>
  <c r="W19" i="28"/>
  <c r="V19" i="28"/>
  <c r="U19" i="28"/>
  <c r="Y18" i="28"/>
  <c r="W18" i="28"/>
  <c r="V18" i="28"/>
  <c r="U18" i="28"/>
  <c r="Y17" i="28"/>
  <c r="W17" i="28"/>
  <c r="V17" i="28"/>
  <c r="U17" i="28"/>
  <c r="Y16" i="28"/>
  <c r="W16" i="28"/>
  <c r="V16" i="28"/>
  <c r="U16" i="28"/>
  <c r="Y15" i="28"/>
  <c r="W15" i="28"/>
  <c r="V15" i="28"/>
  <c r="U15" i="28"/>
  <c r="Y14" i="28"/>
  <c r="W14" i="28"/>
  <c r="V14" i="28"/>
  <c r="U14" i="28"/>
  <c r="Y13" i="28"/>
  <c r="W13" i="28"/>
  <c r="V13" i="28"/>
  <c r="U13" i="28"/>
  <c r="Y12" i="28"/>
  <c r="W12" i="28"/>
  <c r="V12" i="28"/>
  <c r="U12" i="28"/>
  <c r="Y11" i="28"/>
  <c r="W11" i="28"/>
  <c r="V11" i="28"/>
  <c r="U11" i="28"/>
  <c r="Y10" i="28"/>
  <c r="W10" i="28"/>
  <c r="V10" i="28"/>
  <c r="U10" i="28"/>
  <c r="Y9" i="28"/>
  <c r="W9" i="28"/>
  <c r="V9" i="28"/>
  <c r="U9" i="28"/>
  <c r="Y8" i="28"/>
  <c r="W8" i="28"/>
  <c r="V8" i="28"/>
  <c r="U8" i="28"/>
  <c r="Y7" i="28"/>
  <c r="W7" i="28"/>
  <c r="V7" i="28"/>
  <c r="U7" i="28"/>
  <c r="Y6" i="28"/>
  <c r="W6" i="28"/>
  <c r="V6" i="28"/>
  <c r="U6" i="28"/>
  <c r="Y5" i="28"/>
  <c r="W5" i="28"/>
  <c r="V5" i="28"/>
  <c r="Z5" i="28" s="1"/>
  <c r="U5" i="28"/>
  <c r="Y4" i="28"/>
  <c r="W4" i="28"/>
  <c r="V4" i="28"/>
  <c r="Z4" i="28" s="1"/>
  <c r="U4" i="28"/>
  <c r="Y3" i="28"/>
  <c r="W3" i="28"/>
  <c r="V3" i="28"/>
  <c r="U3" i="28"/>
  <c r="R44" i="47"/>
  <c r="Q44" i="47"/>
  <c r="P44" i="47"/>
  <c r="O44" i="47"/>
  <c r="N44" i="47"/>
  <c r="L44" i="47"/>
  <c r="J44" i="47"/>
  <c r="I44" i="47"/>
  <c r="H44" i="47"/>
  <c r="G44" i="47"/>
  <c r="E44" i="47"/>
  <c r="D44" i="47"/>
  <c r="X43" i="47"/>
  <c r="W43" i="47"/>
  <c r="T43" i="47"/>
  <c r="S43" i="47"/>
  <c r="X42" i="47"/>
  <c r="W42" i="47"/>
  <c r="T42" i="47"/>
  <c r="S42" i="47"/>
  <c r="X41" i="47"/>
  <c r="W41" i="47"/>
  <c r="T41" i="47"/>
  <c r="S41" i="47"/>
  <c r="X40" i="47"/>
  <c r="W40" i="47"/>
  <c r="T40" i="47"/>
  <c r="S40" i="47"/>
  <c r="X39" i="47"/>
  <c r="W39" i="47"/>
  <c r="U39" i="47"/>
  <c r="V39" i="47" s="1"/>
  <c r="T39" i="47"/>
  <c r="S39" i="47"/>
  <c r="X38" i="47"/>
  <c r="W38" i="47"/>
  <c r="U38" i="47"/>
  <c r="V38" i="47" s="1"/>
  <c r="T38" i="47"/>
  <c r="S38" i="47"/>
  <c r="X37" i="47"/>
  <c r="W37" i="47"/>
  <c r="U37" i="47"/>
  <c r="V37" i="47" s="1"/>
  <c r="T37" i="47"/>
  <c r="S37" i="47"/>
  <c r="X36" i="47"/>
  <c r="W36" i="47"/>
  <c r="U36" i="47"/>
  <c r="V36" i="47" s="1"/>
  <c r="T36" i="47"/>
  <c r="S36" i="47"/>
  <c r="X35" i="47"/>
  <c r="W35" i="47"/>
  <c r="U35" i="47"/>
  <c r="V35" i="47" s="1"/>
  <c r="T35" i="47"/>
  <c r="S35" i="47"/>
  <c r="X34" i="47"/>
  <c r="W34" i="47"/>
  <c r="U34" i="47"/>
  <c r="V34" i="47" s="1"/>
  <c r="T34" i="47"/>
  <c r="S34" i="47"/>
  <c r="X33" i="47"/>
  <c r="W33" i="47"/>
  <c r="U33" i="47"/>
  <c r="V33" i="47" s="1"/>
  <c r="T33" i="47"/>
  <c r="S33" i="47"/>
  <c r="X32" i="47"/>
  <c r="W32" i="47"/>
  <c r="U32" i="47"/>
  <c r="V32" i="47" s="1"/>
  <c r="T32" i="47"/>
  <c r="S32" i="47"/>
  <c r="X31" i="47"/>
  <c r="W31" i="47"/>
  <c r="U31" i="47"/>
  <c r="V31" i="47" s="1"/>
  <c r="T31" i="47"/>
  <c r="S31" i="47"/>
  <c r="X30" i="47"/>
  <c r="W30" i="47"/>
  <c r="U30" i="47"/>
  <c r="V30" i="47" s="1"/>
  <c r="T30" i="47"/>
  <c r="S30" i="47"/>
  <c r="X29" i="47"/>
  <c r="W29" i="47"/>
  <c r="U29" i="47"/>
  <c r="V29" i="47" s="1"/>
  <c r="T29" i="47"/>
  <c r="S29" i="47"/>
  <c r="X28" i="47"/>
  <c r="W28" i="47"/>
  <c r="U28" i="47"/>
  <c r="V28" i="47" s="1"/>
  <c r="T28" i="47"/>
  <c r="S28" i="47"/>
  <c r="X27" i="47"/>
  <c r="W27" i="47"/>
  <c r="U27" i="47"/>
  <c r="V27" i="47" s="1"/>
  <c r="T27" i="47"/>
  <c r="M27" i="47"/>
  <c r="S27" i="47" s="1"/>
  <c r="X26" i="47"/>
  <c r="W26" i="47"/>
  <c r="U26" i="47"/>
  <c r="V26" i="47" s="1"/>
  <c r="T26" i="47"/>
  <c r="S26" i="47"/>
  <c r="X25" i="47"/>
  <c r="W25" i="47"/>
  <c r="U25" i="47"/>
  <c r="V25" i="47" s="1"/>
  <c r="T25" i="47"/>
  <c r="S25" i="47"/>
  <c r="X24" i="47"/>
  <c r="W24" i="47"/>
  <c r="U24" i="47"/>
  <c r="V24" i="47" s="1"/>
  <c r="T24" i="47"/>
  <c r="S24" i="47"/>
  <c r="X23" i="47"/>
  <c r="W23" i="47"/>
  <c r="U23" i="47"/>
  <c r="V23" i="47" s="1"/>
  <c r="T23" i="47"/>
  <c r="S23" i="47"/>
  <c r="X22" i="47"/>
  <c r="W22" i="47"/>
  <c r="U22" i="47"/>
  <c r="V22" i="47" s="1"/>
  <c r="T22" i="47"/>
  <c r="S22" i="47"/>
  <c r="X21" i="47"/>
  <c r="W21" i="47"/>
  <c r="U21" i="47"/>
  <c r="V21" i="47" s="1"/>
  <c r="T21" i="47"/>
  <c r="S21" i="47"/>
  <c r="X20" i="47"/>
  <c r="W20" i="47"/>
  <c r="U20" i="47"/>
  <c r="V20" i="47" s="1"/>
  <c r="T20" i="47"/>
  <c r="S20" i="47"/>
  <c r="X19" i="47"/>
  <c r="W19" i="47"/>
  <c r="U19" i="47"/>
  <c r="V19" i="47" s="1"/>
  <c r="T19" i="47"/>
  <c r="S19" i="47"/>
  <c r="X18" i="47"/>
  <c r="W18" i="47"/>
  <c r="U18" i="47"/>
  <c r="V18" i="47" s="1"/>
  <c r="T18" i="47"/>
  <c r="S18" i="47"/>
  <c r="X17" i="47"/>
  <c r="W17" i="47"/>
  <c r="U17" i="47"/>
  <c r="V17" i="47" s="1"/>
  <c r="F17" i="47"/>
  <c r="T17" i="47" s="1"/>
  <c r="X16" i="47"/>
  <c r="W16" i="47"/>
  <c r="U16" i="47"/>
  <c r="V16" i="47" s="1"/>
  <c r="T16" i="47"/>
  <c r="S16" i="47"/>
  <c r="X15" i="47"/>
  <c r="W15" i="47"/>
  <c r="U15" i="47"/>
  <c r="V15" i="47" s="1"/>
  <c r="T15" i="47"/>
  <c r="S15" i="47"/>
  <c r="X14" i="47"/>
  <c r="W14" i="47"/>
  <c r="U14" i="47"/>
  <c r="V14" i="47" s="1"/>
  <c r="K14" i="47"/>
  <c r="F14" i="47"/>
  <c r="X13" i="47"/>
  <c r="W13" i="47"/>
  <c r="U13" i="47"/>
  <c r="V13" i="47" s="1"/>
  <c r="T13" i="47"/>
  <c r="S13" i="47"/>
  <c r="X12" i="47"/>
  <c r="W12" i="47"/>
  <c r="U12" i="47"/>
  <c r="V12" i="47" s="1"/>
  <c r="T12" i="47"/>
  <c r="S12" i="47"/>
  <c r="X11" i="47"/>
  <c r="W11" i="47"/>
  <c r="U11" i="47"/>
  <c r="V11" i="47" s="1"/>
  <c r="T11" i="47"/>
  <c r="S11" i="47"/>
  <c r="X10" i="47"/>
  <c r="W10" i="47"/>
  <c r="U10" i="47"/>
  <c r="V10" i="47" s="1"/>
  <c r="T10" i="47"/>
  <c r="S10" i="47"/>
  <c r="X9" i="47"/>
  <c r="W9" i="47"/>
  <c r="U9" i="47"/>
  <c r="V9" i="47" s="1"/>
  <c r="T9" i="47"/>
  <c r="S9" i="47"/>
  <c r="X8" i="47"/>
  <c r="W8" i="47"/>
  <c r="U8" i="47"/>
  <c r="V8" i="47" s="1"/>
  <c r="T8" i="47"/>
  <c r="S8" i="47"/>
  <c r="X7" i="47"/>
  <c r="W7" i="47"/>
  <c r="U7" i="47"/>
  <c r="V7" i="47" s="1"/>
  <c r="T7" i="47"/>
  <c r="S7" i="47"/>
  <c r="X6" i="47"/>
  <c r="W6" i="47"/>
  <c r="U6" i="47"/>
  <c r="V6" i="47" s="1"/>
  <c r="T6" i="47"/>
  <c r="S6" i="47"/>
  <c r="X5" i="47"/>
  <c r="W5" i="47"/>
  <c r="U5" i="47"/>
  <c r="V5" i="47" s="1"/>
  <c r="T5" i="47"/>
  <c r="S5" i="47"/>
  <c r="X4" i="47"/>
  <c r="W4" i="47"/>
  <c r="U4" i="47"/>
  <c r="V4" i="47" s="1"/>
  <c r="T4" i="47"/>
  <c r="S4" i="47"/>
  <c r="X3" i="47"/>
  <c r="W3" i="47"/>
  <c r="U3" i="47"/>
  <c r="V3" i="47" s="1"/>
  <c r="T3" i="47"/>
  <c r="S3" i="47"/>
  <c r="X2" i="47"/>
  <c r="W2" i="47"/>
  <c r="U2" i="47"/>
  <c r="V2" i="47" s="1"/>
  <c r="T2" i="47"/>
  <c r="S2" i="47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R73" i="41"/>
  <c r="P73" i="41"/>
  <c r="N73" i="41"/>
  <c r="R72" i="41"/>
  <c r="Q72" i="41"/>
  <c r="P72" i="41"/>
  <c r="O72" i="41"/>
  <c r="N72" i="41"/>
  <c r="M72" i="41"/>
  <c r="L72" i="41"/>
  <c r="K72" i="41"/>
  <c r="J72" i="41"/>
  <c r="I72" i="41"/>
  <c r="H72" i="41"/>
  <c r="G72" i="41"/>
  <c r="F72" i="41"/>
  <c r="E72" i="41"/>
  <c r="D72" i="41"/>
  <c r="P71" i="41"/>
  <c r="L71" i="41"/>
  <c r="M70" i="41"/>
  <c r="I70" i="41"/>
  <c r="F70" i="41"/>
  <c r="R69" i="41"/>
  <c r="Q69" i="41"/>
  <c r="P69" i="41"/>
  <c r="O69" i="41"/>
  <c r="N69" i="41"/>
  <c r="M69" i="41"/>
  <c r="L69" i="41"/>
  <c r="K69" i="41"/>
  <c r="J69" i="41"/>
  <c r="J73" i="41" s="1"/>
  <c r="I69" i="41"/>
  <c r="H69" i="41"/>
  <c r="H73" i="41" s="1"/>
  <c r="G69" i="41"/>
  <c r="F69" i="41"/>
  <c r="E69" i="41"/>
  <c r="E73" i="41" s="1"/>
  <c r="D69" i="41"/>
  <c r="D73" i="41" s="1"/>
  <c r="S68" i="41"/>
  <c r="S67" i="41"/>
  <c r="S66" i="41"/>
  <c r="S65" i="41"/>
  <c r="S64" i="41"/>
  <c r="T63" i="41"/>
  <c r="S63" i="41"/>
  <c r="T62" i="41"/>
  <c r="S62" i="41"/>
  <c r="T61" i="41"/>
  <c r="S61" i="41"/>
  <c r="T60" i="41"/>
  <c r="S60" i="41"/>
  <c r="T59" i="41"/>
  <c r="S59" i="41"/>
  <c r="T58" i="41"/>
  <c r="S58" i="41"/>
  <c r="T57" i="41"/>
  <c r="S57" i="41"/>
  <c r="T56" i="41"/>
  <c r="S56" i="41"/>
  <c r="T55" i="41"/>
  <c r="S55" i="41"/>
  <c r="Q54" i="41"/>
  <c r="N54" i="41"/>
  <c r="M54" i="41"/>
  <c r="L54" i="41"/>
  <c r="I54" i="41"/>
  <c r="H54" i="41"/>
  <c r="D54" i="41"/>
  <c r="S54" i="41" s="1"/>
  <c r="T53" i="41"/>
  <c r="S53" i="41"/>
  <c r="T52" i="41"/>
  <c r="T51" i="41"/>
  <c r="S51" i="41"/>
  <c r="R50" i="41"/>
  <c r="R54" i="41" s="1"/>
  <c r="Q50" i="41"/>
  <c r="P50" i="41"/>
  <c r="P54" i="41" s="1"/>
  <c r="O50" i="41"/>
  <c r="O54" i="41" s="1"/>
  <c r="N50" i="41"/>
  <c r="M50" i="41"/>
  <c r="L50" i="41"/>
  <c r="K50" i="41"/>
  <c r="K54" i="41" s="1"/>
  <c r="J50" i="41"/>
  <c r="I50" i="41"/>
  <c r="H50" i="41"/>
  <c r="G50" i="41"/>
  <c r="G54" i="41" s="1"/>
  <c r="F50" i="41"/>
  <c r="F54" i="41" s="1"/>
  <c r="E50" i="41"/>
  <c r="E54" i="41" s="1"/>
  <c r="D50" i="41"/>
  <c r="N49" i="41"/>
  <c r="L49" i="41"/>
  <c r="H49" i="41"/>
  <c r="R48" i="41"/>
  <c r="R49" i="41" s="1"/>
  <c r="Q48" i="41"/>
  <c r="Q49" i="41" s="1"/>
  <c r="P48" i="41"/>
  <c r="O48" i="41"/>
  <c r="O49" i="41" s="1"/>
  <c r="N48" i="41"/>
  <c r="L48" i="41"/>
  <c r="K48" i="41"/>
  <c r="J48" i="41"/>
  <c r="J49" i="41" s="1"/>
  <c r="I48" i="41"/>
  <c r="H48" i="41"/>
  <c r="G48" i="41"/>
  <c r="E48" i="41"/>
  <c r="D48" i="41"/>
  <c r="M47" i="41"/>
  <c r="S47" i="41" s="1"/>
  <c r="T46" i="41"/>
  <c r="S46" i="41"/>
  <c r="T45" i="41"/>
  <c r="S45" i="41"/>
  <c r="T44" i="41"/>
  <c r="S44" i="41"/>
  <c r="T43" i="41"/>
  <c r="S43" i="41"/>
  <c r="T42" i="41"/>
  <c r="S42" i="41"/>
  <c r="T41" i="41"/>
  <c r="S41" i="41"/>
  <c r="T40" i="41"/>
  <c r="S40" i="41"/>
  <c r="T39" i="41"/>
  <c r="S39" i="41"/>
  <c r="T38" i="41"/>
  <c r="S38" i="41"/>
  <c r="F37" i="41"/>
  <c r="F48" i="41" s="1"/>
  <c r="P36" i="41"/>
  <c r="N36" i="41"/>
  <c r="L36" i="41"/>
  <c r="I36" i="41"/>
  <c r="H36" i="41"/>
  <c r="G36" i="41"/>
  <c r="F36" i="41"/>
  <c r="E36" i="41"/>
  <c r="T35" i="41"/>
  <c r="S35" i="41"/>
  <c r="T34" i="41"/>
  <c r="T33" i="41"/>
  <c r="S33" i="41"/>
  <c r="R32" i="41"/>
  <c r="R36" i="41" s="1"/>
  <c r="Q32" i="41"/>
  <c r="Q36" i="41" s="1"/>
  <c r="P32" i="41"/>
  <c r="O32" i="41"/>
  <c r="O36" i="41" s="1"/>
  <c r="N32" i="41"/>
  <c r="M32" i="41"/>
  <c r="M36" i="41" s="1"/>
  <c r="L32" i="41"/>
  <c r="K32" i="41"/>
  <c r="K36" i="41" s="1"/>
  <c r="J32" i="41"/>
  <c r="J36" i="41" s="1"/>
  <c r="I32" i="41"/>
  <c r="H32" i="41"/>
  <c r="G32" i="41"/>
  <c r="F32" i="41"/>
  <c r="E32" i="41"/>
  <c r="D32" i="41"/>
  <c r="R30" i="41"/>
  <c r="R31" i="41" s="1"/>
  <c r="Q30" i="41"/>
  <c r="Q31" i="41" s="1"/>
  <c r="P30" i="41"/>
  <c r="O30" i="41"/>
  <c r="O31" i="41" s="1"/>
  <c r="N30" i="41"/>
  <c r="N71" i="41" s="1"/>
  <c r="M30" i="41"/>
  <c r="M31" i="41" s="1"/>
  <c r="L30" i="41"/>
  <c r="J30" i="41"/>
  <c r="I30" i="41"/>
  <c r="H30" i="41"/>
  <c r="G30" i="41"/>
  <c r="E30" i="41"/>
  <c r="D30" i="41"/>
  <c r="T29" i="41"/>
  <c r="S29" i="41"/>
  <c r="T28" i="41"/>
  <c r="S28" i="41"/>
  <c r="K27" i="41"/>
  <c r="F27" i="41"/>
  <c r="S27" i="41" s="1"/>
  <c r="T26" i="41"/>
  <c r="S26" i="41"/>
  <c r="T25" i="41"/>
  <c r="S25" i="41"/>
  <c r="T24" i="41"/>
  <c r="S24" i="41"/>
  <c r="S30" i="41" s="1"/>
  <c r="R23" i="41"/>
  <c r="O23" i="41"/>
  <c r="M23" i="41"/>
  <c r="K23" i="41"/>
  <c r="F23" i="41"/>
  <c r="T22" i="41"/>
  <c r="S22" i="41"/>
  <c r="T21" i="41"/>
  <c r="T20" i="41"/>
  <c r="S20" i="41"/>
  <c r="R19" i="41"/>
  <c r="Q19" i="41"/>
  <c r="Q23" i="41" s="1"/>
  <c r="P19" i="41"/>
  <c r="P23" i="41" s="1"/>
  <c r="O19" i="41"/>
  <c r="N19" i="41"/>
  <c r="N23" i="41" s="1"/>
  <c r="M19" i="41"/>
  <c r="L19" i="41"/>
  <c r="L23" i="41" s="1"/>
  <c r="K19" i="41"/>
  <c r="J19" i="41"/>
  <c r="I19" i="41"/>
  <c r="I23" i="41" s="1"/>
  <c r="H19" i="41"/>
  <c r="H23" i="41" s="1"/>
  <c r="G19" i="41"/>
  <c r="G23" i="41" s="1"/>
  <c r="F19" i="41"/>
  <c r="E19" i="41"/>
  <c r="E23" i="41" s="1"/>
  <c r="D19" i="41"/>
  <c r="O18" i="41"/>
  <c r="R17" i="41"/>
  <c r="Q17" i="41"/>
  <c r="P17" i="41"/>
  <c r="O17" i="41"/>
  <c r="N17" i="41"/>
  <c r="M17" i="41"/>
  <c r="L17" i="41"/>
  <c r="K17" i="41"/>
  <c r="K18" i="41" s="1"/>
  <c r="J17" i="41"/>
  <c r="J71" i="41" s="1"/>
  <c r="I17" i="41"/>
  <c r="I18" i="41" s="1"/>
  <c r="H17" i="41"/>
  <c r="H71" i="41" s="1"/>
  <c r="G17" i="41"/>
  <c r="G18" i="41" s="1"/>
  <c r="F17" i="41"/>
  <c r="F18" i="41" s="1"/>
  <c r="E17" i="41"/>
  <c r="D17" i="41"/>
  <c r="T16" i="41"/>
  <c r="S16" i="41"/>
  <c r="T15" i="41"/>
  <c r="S15" i="41"/>
  <c r="T14" i="41"/>
  <c r="S14" i="41"/>
  <c r="T13" i="41"/>
  <c r="S13" i="41"/>
  <c r="T12" i="41"/>
  <c r="S12" i="41"/>
  <c r="T11" i="41"/>
  <c r="S11" i="41"/>
  <c r="T10" i="41"/>
  <c r="S10" i="41"/>
  <c r="T9" i="41"/>
  <c r="S9" i="41"/>
  <c r="T8" i="41"/>
  <c r="S8" i="41"/>
  <c r="S17" i="41" s="1"/>
  <c r="Q7" i="41"/>
  <c r="O7" i="41"/>
  <c r="M7" i="41"/>
  <c r="F7" i="41"/>
  <c r="E7" i="41"/>
  <c r="D7" i="41"/>
  <c r="S7" i="41" s="1"/>
  <c r="S6" i="41"/>
  <c r="S4" i="41"/>
  <c r="S72" i="41" s="1"/>
  <c r="R3" i="41"/>
  <c r="R7" i="41" s="1"/>
  <c r="Q3" i="41"/>
  <c r="P3" i="41"/>
  <c r="O3" i="41"/>
  <c r="N3" i="41"/>
  <c r="M3" i="41"/>
  <c r="L3" i="41"/>
  <c r="L7" i="41" s="1"/>
  <c r="K3" i="41"/>
  <c r="K7" i="41" s="1"/>
  <c r="J3" i="41"/>
  <c r="J7" i="41" s="1"/>
  <c r="I3" i="41"/>
  <c r="I7" i="41" s="1"/>
  <c r="H3" i="41"/>
  <c r="G3" i="41"/>
  <c r="G7" i="41" s="1"/>
  <c r="F3" i="41"/>
  <c r="E3" i="41"/>
  <c r="D3" i="4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R76" i="1"/>
  <c r="Q76" i="1"/>
  <c r="Q80" i="1" s="1"/>
  <c r="P76" i="1"/>
  <c r="O76" i="1"/>
  <c r="O80" i="1" s="1"/>
  <c r="N76" i="1"/>
  <c r="M76" i="1"/>
  <c r="M80" i="1" s="1"/>
  <c r="L76" i="1"/>
  <c r="L77" i="1" s="1"/>
  <c r="K76" i="1"/>
  <c r="K80" i="1" s="1"/>
  <c r="J76" i="1"/>
  <c r="I76" i="1"/>
  <c r="H76" i="1"/>
  <c r="H80" i="1" s="1"/>
  <c r="G76" i="1"/>
  <c r="G80" i="1" s="1"/>
  <c r="F76" i="1"/>
  <c r="E76" i="1"/>
  <c r="E80" i="1" s="1"/>
  <c r="D76" i="1"/>
  <c r="T75" i="1"/>
  <c r="S75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S76" i="1" s="1"/>
  <c r="R57" i="1"/>
  <c r="J57" i="1"/>
  <c r="D57" i="1"/>
  <c r="S57" i="1" s="1"/>
  <c r="T56" i="1"/>
  <c r="S56" i="1"/>
  <c r="T55" i="1"/>
  <c r="T54" i="1"/>
  <c r="S54" i="1"/>
  <c r="R53" i="1"/>
  <c r="Q53" i="1"/>
  <c r="P53" i="1"/>
  <c r="P57" i="1" s="1"/>
  <c r="O53" i="1"/>
  <c r="O57" i="1" s="1"/>
  <c r="N53" i="1"/>
  <c r="N57" i="1" s="1"/>
  <c r="M53" i="1"/>
  <c r="M57" i="1" s="1"/>
  <c r="L53" i="1"/>
  <c r="L57" i="1" s="1"/>
  <c r="K53" i="1"/>
  <c r="K57" i="1" s="1"/>
  <c r="J53" i="1"/>
  <c r="I53" i="1"/>
  <c r="I57" i="1" s="1"/>
  <c r="H53" i="1"/>
  <c r="H57" i="1" s="1"/>
  <c r="G53" i="1"/>
  <c r="F53" i="1"/>
  <c r="F57" i="1" s="1"/>
  <c r="E53" i="1"/>
  <c r="D53" i="1"/>
  <c r="R51" i="1"/>
  <c r="Q51" i="1"/>
  <c r="P51" i="1"/>
  <c r="O51" i="1"/>
  <c r="N51" i="1"/>
  <c r="M51" i="1"/>
  <c r="L51" i="1"/>
  <c r="K51" i="1"/>
  <c r="J51" i="1"/>
  <c r="J52" i="1" s="1"/>
  <c r="I51" i="1"/>
  <c r="H51" i="1"/>
  <c r="G51" i="1"/>
  <c r="F51" i="1"/>
  <c r="F52" i="1" s="1"/>
  <c r="E51" i="1"/>
  <c r="D51" i="1"/>
  <c r="T50" i="1"/>
  <c r="S50" i="1"/>
  <c r="T49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R37" i="1"/>
  <c r="F37" i="1"/>
  <c r="T36" i="1"/>
  <c r="S36" i="1"/>
  <c r="T35" i="1"/>
  <c r="T34" i="1"/>
  <c r="S34" i="1"/>
  <c r="R33" i="1"/>
  <c r="Q33" i="1"/>
  <c r="P33" i="1"/>
  <c r="P37" i="1" s="1"/>
  <c r="O33" i="1"/>
  <c r="O37" i="1" s="1"/>
  <c r="N33" i="1"/>
  <c r="N37" i="1" s="1"/>
  <c r="M33" i="1"/>
  <c r="M37" i="1" s="1"/>
  <c r="L33" i="1"/>
  <c r="L37" i="1" s="1"/>
  <c r="K33" i="1"/>
  <c r="K37" i="1" s="1"/>
  <c r="J33" i="1"/>
  <c r="J37" i="1" s="1"/>
  <c r="I33" i="1"/>
  <c r="I37" i="1" s="1"/>
  <c r="H33" i="1"/>
  <c r="H37" i="1" s="1"/>
  <c r="G33" i="1"/>
  <c r="G37" i="1" s="1"/>
  <c r="F33" i="1"/>
  <c r="E33" i="1"/>
  <c r="E37" i="1" s="1"/>
  <c r="D33" i="1"/>
  <c r="R31" i="1"/>
  <c r="R32" i="1" s="1"/>
  <c r="Q31" i="1"/>
  <c r="Q32" i="1" s="1"/>
  <c r="P31" i="1"/>
  <c r="P32" i="1" s="1"/>
  <c r="O31" i="1"/>
  <c r="O32" i="1" s="1"/>
  <c r="N31" i="1"/>
  <c r="N78" i="1" s="1"/>
  <c r="M31" i="1"/>
  <c r="M32" i="1" s="1"/>
  <c r="L31" i="1"/>
  <c r="K31" i="1"/>
  <c r="K32" i="1" s="1"/>
  <c r="J31" i="1"/>
  <c r="I31" i="1"/>
  <c r="I32" i="1" s="1"/>
  <c r="H31" i="1"/>
  <c r="G31" i="1"/>
  <c r="G32" i="1" s="1"/>
  <c r="F31" i="1"/>
  <c r="F32" i="1" s="1"/>
  <c r="E31" i="1"/>
  <c r="E32" i="1" s="1"/>
  <c r="D31" i="1"/>
  <c r="T30" i="1"/>
  <c r="S30" i="1"/>
  <c r="T29" i="1"/>
  <c r="S29" i="1"/>
  <c r="T28" i="1"/>
  <c r="S28" i="1"/>
  <c r="T27" i="1"/>
  <c r="S27" i="1"/>
  <c r="T26" i="1"/>
  <c r="S26" i="1"/>
  <c r="T25" i="1"/>
  <c r="S25" i="1"/>
  <c r="S31" i="1" s="1"/>
  <c r="R24" i="1"/>
  <c r="Q24" i="1"/>
  <c r="O24" i="1"/>
  <c r="M24" i="1"/>
  <c r="K24" i="1"/>
  <c r="I24" i="1"/>
  <c r="F24" i="1"/>
  <c r="T23" i="1"/>
  <c r="S23" i="1"/>
  <c r="T22" i="1"/>
  <c r="T21" i="1"/>
  <c r="S21" i="1"/>
  <c r="R20" i="1"/>
  <c r="Q20" i="1"/>
  <c r="P20" i="1"/>
  <c r="P24" i="1" s="1"/>
  <c r="O20" i="1"/>
  <c r="N20" i="1"/>
  <c r="N24" i="1" s="1"/>
  <c r="M20" i="1"/>
  <c r="L20" i="1"/>
  <c r="L24" i="1" s="1"/>
  <c r="K20" i="1"/>
  <c r="J20" i="1"/>
  <c r="J24" i="1" s="1"/>
  <c r="I20" i="1"/>
  <c r="H20" i="1"/>
  <c r="H24" i="1" s="1"/>
  <c r="G20" i="1"/>
  <c r="G24" i="1" s="1"/>
  <c r="F20" i="1"/>
  <c r="E20" i="1"/>
  <c r="E24" i="1" s="1"/>
  <c r="D20" i="1"/>
  <c r="D24" i="1" s="1"/>
  <c r="P19" i="1"/>
  <c r="O19" i="1"/>
  <c r="N19" i="1"/>
  <c r="H19" i="1"/>
  <c r="F19" i="1"/>
  <c r="D19" i="1"/>
  <c r="R18" i="1"/>
  <c r="Q18" i="1"/>
  <c r="P18" i="1"/>
  <c r="O18" i="1"/>
  <c r="O78" i="1" s="1"/>
  <c r="N18" i="1"/>
  <c r="M18" i="1"/>
  <c r="M78" i="1" s="1"/>
  <c r="L18" i="1"/>
  <c r="K18" i="1"/>
  <c r="J18" i="1"/>
  <c r="J19" i="1" s="1"/>
  <c r="I18" i="1"/>
  <c r="I19" i="1" s="1"/>
  <c r="H18" i="1"/>
  <c r="G18" i="1"/>
  <c r="F18" i="1"/>
  <c r="E18" i="1"/>
  <c r="D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Q7" i="1"/>
  <c r="P7" i="1"/>
  <c r="I7" i="1"/>
  <c r="H7" i="1"/>
  <c r="G7" i="1"/>
  <c r="F7" i="1"/>
  <c r="E7" i="1"/>
  <c r="S6" i="1"/>
  <c r="S4" i="1"/>
  <c r="S79" i="1" s="1"/>
  <c r="R3" i="1"/>
  <c r="R7" i="1" s="1"/>
  <c r="Q3" i="1"/>
  <c r="P3" i="1"/>
  <c r="O3" i="1"/>
  <c r="O7" i="1" s="1"/>
  <c r="N3" i="1"/>
  <c r="N7" i="1" s="1"/>
  <c r="M3" i="1"/>
  <c r="M7" i="1" s="1"/>
  <c r="L3" i="1"/>
  <c r="L7" i="1" s="1"/>
  <c r="K3" i="1"/>
  <c r="K7" i="1" s="1"/>
  <c r="J3" i="1"/>
  <c r="J7" i="1" s="1"/>
  <c r="I3" i="1"/>
  <c r="H3" i="1"/>
  <c r="G3" i="1"/>
  <c r="F3" i="1"/>
  <c r="E3" i="1"/>
  <c r="D3" i="1"/>
  <c r="D7" i="1" s="1"/>
  <c r="S7" i="1" s="1"/>
  <c r="Z59" i="28" l="1"/>
  <c r="Z110" i="28"/>
  <c r="Z27" i="28"/>
  <c r="K52" i="1"/>
  <c r="T79" i="1"/>
  <c r="Z66" i="28"/>
  <c r="S71" i="41"/>
  <c r="W44" i="47"/>
  <c r="Z22" i="28"/>
  <c r="Z103" i="28"/>
  <c r="Z114" i="28"/>
  <c r="Z86" i="28"/>
  <c r="I80" i="1"/>
  <c r="I77" i="1"/>
  <c r="D70" i="41"/>
  <c r="Z92" i="28"/>
  <c r="G77" i="1"/>
  <c r="J80" i="1"/>
  <c r="Z75" i="28"/>
  <c r="Z33" i="28"/>
  <c r="D31" i="41"/>
  <c r="D23" i="41"/>
  <c r="S23" i="41" s="1"/>
  <c r="G52" i="1"/>
  <c r="H52" i="1"/>
  <c r="Z16" i="28"/>
  <c r="Z97" i="28"/>
  <c r="S51" i="1"/>
  <c r="Z12" i="28"/>
  <c r="M44" i="47"/>
  <c r="Z70" i="28"/>
  <c r="E31" i="41"/>
  <c r="S18" i="1"/>
  <c r="S78" i="1" s="1"/>
  <c r="H31" i="41"/>
  <c r="I52" i="1"/>
  <c r="D71" i="41"/>
  <c r="D18" i="41"/>
  <c r="L21" i="46"/>
  <c r="L25" i="46"/>
  <c r="L33" i="46"/>
  <c r="L71" i="46"/>
  <c r="L14" i="46"/>
  <c r="L56" i="46"/>
  <c r="L117" i="46"/>
  <c r="P78" i="1"/>
  <c r="R52" i="1"/>
  <c r="I49" i="41"/>
  <c r="L70" i="41"/>
  <c r="Z14" i="28"/>
  <c r="Z57" i="28"/>
  <c r="Z84" i="28"/>
  <c r="O77" i="1"/>
  <c r="F44" i="47"/>
  <c r="Z25" i="28"/>
  <c r="Z68" i="28"/>
  <c r="Z20" i="28"/>
  <c r="Z90" i="28"/>
  <c r="N18" i="41"/>
  <c r="I31" i="41"/>
  <c r="S74" i="41"/>
  <c r="Z31" i="28"/>
  <c r="Z101" i="28"/>
  <c r="J78" i="1"/>
  <c r="T81" i="1"/>
  <c r="R71" i="41"/>
  <c r="G31" i="41"/>
  <c r="K49" i="41"/>
  <c r="N70" i="41"/>
  <c r="Z9" i="28"/>
  <c r="Z36" i="28"/>
  <c r="Z79" i="28"/>
  <c r="L30" i="46"/>
  <c r="T32" i="41"/>
  <c r="S69" i="41"/>
  <c r="Z7" i="28"/>
  <c r="Z77" i="28"/>
  <c r="L52" i="1"/>
  <c r="S3" i="41"/>
  <c r="Z18" i="28"/>
  <c r="Z88" i="28"/>
  <c r="M52" i="1"/>
  <c r="T27" i="41"/>
  <c r="T47" i="41"/>
  <c r="G70" i="41"/>
  <c r="Z29" i="28"/>
  <c r="Z99" i="28"/>
  <c r="N52" i="1"/>
  <c r="P77" i="1"/>
  <c r="S17" i="47"/>
  <c r="Z40" i="28"/>
  <c r="M71" i="41"/>
  <c r="E49" i="41"/>
  <c r="Z51" i="28"/>
  <c r="Z94" i="28"/>
  <c r="K78" i="1"/>
  <c r="P52" i="1"/>
  <c r="G49" i="41"/>
  <c r="Z62" i="28"/>
  <c r="Z89" i="28"/>
  <c r="Z105" i="28"/>
  <c r="O71" i="41"/>
  <c r="S37" i="41"/>
  <c r="K70" i="41"/>
  <c r="Z3" i="28"/>
  <c r="Z46" i="28"/>
  <c r="Z73" i="28"/>
  <c r="R78" i="1"/>
  <c r="Q73" i="41"/>
  <c r="D32" i="1"/>
  <c r="P18" i="41"/>
  <c r="M18" i="41"/>
  <c r="Z53" i="28"/>
  <c r="L46" i="46"/>
  <c r="L84" i="46"/>
  <c r="L118" i="46"/>
  <c r="N5" i="46"/>
  <c r="N6" i="46" s="1"/>
  <c r="H32" i="1"/>
  <c r="Z76" i="28"/>
  <c r="M6" i="46"/>
  <c r="L6" i="46" s="1"/>
  <c r="L69" i="46"/>
  <c r="L96" i="46"/>
  <c r="L110" i="46"/>
  <c r="L39" i="46"/>
  <c r="L54" i="46"/>
  <c r="L81" i="46"/>
  <c r="L111" i="46"/>
  <c r="L62" i="46"/>
  <c r="L24" i="46"/>
  <c r="L28" i="46"/>
  <c r="L66" i="46"/>
  <c r="L44" i="46"/>
  <c r="L78" i="46"/>
  <c r="R126" i="46"/>
  <c r="R127" i="46" s="1"/>
  <c r="M19" i="1"/>
  <c r="O52" i="1"/>
  <c r="S32" i="41"/>
  <c r="Z15" i="28"/>
  <c r="Z93" i="28"/>
  <c r="S80" i="1"/>
  <c r="J32" i="1"/>
  <c r="E77" i="1"/>
  <c r="K73" i="41"/>
  <c r="Z10" i="28"/>
  <c r="Z37" i="28"/>
  <c r="Z115" i="28"/>
  <c r="R77" i="1"/>
  <c r="R80" i="1"/>
  <c r="T20" i="1"/>
  <c r="L32" i="1"/>
  <c r="L78" i="1"/>
  <c r="H18" i="41"/>
  <c r="H7" i="41"/>
  <c r="F73" i="41"/>
  <c r="F49" i="41"/>
  <c r="Z32" i="28"/>
  <c r="F80" i="1"/>
  <c r="F77" i="1"/>
  <c r="E78" i="1"/>
  <c r="E19" i="1"/>
  <c r="T18" i="1"/>
  <c r="Q19" i="1"/>
  <c r="Q78" i="1"/>
  <c r="G57" i="1"/>
  <c r="W116" i="28"/>
  <c r="S3" i="1"/>
  <c r="T33" i="1"/>
  <c r="Z54" i="28"/>
  <c r="G19" i="1"/>
  <c r="G78" i="1"/>
  <c r="S33" i="1"/>
  <c r="E52" i="1"/>
  <c r="Q37" i="1"/>
  <c r="Q52" i="1"/>
  <c r="P80" i="1"/>
  <c r="E71" i="41"/>
  <c r="E18" i="41"/>
  <c r="T17" i="41"/>
  <c r="Q71" i="41"/>
  <c r="Q18" i="41"/>
  <c r="T74" i="41"/>
  <c r="T53" i="1"/>
  <c r="E57" i="1"/>
  <c r="Q77" i="1"/>
  <c r="Q57" i="1"/>
  <c r="J31" i="41"/>
  <c r="J23" i="41"/>
  <c r="T23" i="41" s="1"/>
  <c r="T51" i="1"/>
  <c r="J70" i="41"/>
  <c r="J54" i="41"/>
  <c r="T54" i="41" s="1"/>
  <c r="O73" i="41"/>
  <c r="D77" i="1"/>
  <c r="T76" i="1"/>
  <c r="D80" i="1"/>
  <c r="L80" i="1"/>
  <c r="T72" i="41"/>
  <c r="S53" i="1"/>
  <c r="S14" i="47"/>
  <c r="K44" i="47"/>
  <c r="T14" i="47"/>
  <c r="Z71" i="28"/>
  <c r="Z98" i="28"/>
  <c r="S20" i="1"/>
  <c r="D52" i="1"/>
  <c r="J18" i="41"/>
  <c r="S19" i="41"/>
  <c r="S50" i="41"/>
  <c r="H70" i="41"/>
  <c r="T69" i="41"/>
  <c r="P70" i="41"/>
  <c r="G73" i="41"/>
  <c r="X44" i="47"/>
  <c r="Z19" i="28"/>
  <c r="Z24" i="28"/>
  <c r="Z41" i="28"/>
  <c r="Z58" i="28"/>
  <c r="Z63" i="28"/>
  <c r="Z80" i="28"/>
  <c r="Z85" i="28"/>
  <c r="Z102" i="28"/>
  <c r="Z107" i="28"/>
  <c r="T24" i="1"/>
  <c r="K30" i="41"/>
  <c r="K31" i="41" s="1"/>
  <c r="Z95" i="28"/>
  <c r="S48" i="41"/>
  <c r="S73" i="41" s="1"/>
  <c r="D78" i="1"/>
  <c r="N32" i="1"/>
  <c r="H77" i="1"/>
  <c r="F78" i="1"/>
  <c r="N31" i="41"/>
  <c r="O70" i="41"/>
  <c r="K19" i="1"/>
  <c r="T31" i="1"/>
  <c r="N80" i="1"/>
  <c r="N77" i="1"/>
  <c r="J77" i="1"/>
  <c r="H78" i="1"/>
  <c r="T19" i="41"/>
  <c r="P31" i="41"/>
  <c r="M48" i="41"/>
  <c r="T48" i="41" s="1"/>
  <c r="T50" i="41"/>
  <c r="I73" i="41"/>
  <c r="Q70" i="41"/>
  <c r="L19" i="1"/>
  <c r="D37" i="1"/>
  <c r="S37" i="1" s="1"/>
  <c r="K77" i="1"/>
  <c r="I78" i="1"/>
  <c r="N7" i="41"/>
  <c r="L18" i="41"/>
  <c r="F30" i="41"/>
  <c r="D36" i="41"/>
  <c r="T36" i="41" s="1"/>
  <c r="E70" i="41"/>
  <c r="R70" i="41"/>
  <c r="Z17" i="28"/>
  <c r="Z34" i="28"/>
  <c r="Z39" i="28"/>
  <c r="Z56" i="28"/>
  <c r="Z61" i="28"/>
  <c r="Z78" i="28"/>
  <c r="Z83" i="28"/>
  <c r="L63" i="46"/>
  <c r="M77" i="1"/>
  <c r="P7" i="41"/>
  <c r="D49" i="41"/>
  <c r="P49" i="41"/>
  <c r="L73" i="41"/>
  <c r="G71" i="41"/>
  <c r="T37" i="41"/>
  <c r="Z8" i="28"/>
  <c r="Z13" i="28"/>
  <c r="Z30" i="28"/>
  <c r="Z35" i="28"/>
  <c r="Z69" i="28"/>
  <c r="Z74" i="28"/>
  <c r="Z91" i="28"/>
  <c r="Z96" i="28"/>
  <c r="Z113" i="28"/>
  <c r="Z47" i="28"/>
  <c r="I71" i="41"/>
  <c r="Z23" i="28"/>
  <c r="R19" i="1"/>
  <c r="R18" i="41"/>
  <c r="L31" i="41"/>
  <c r="Z6" i="28"/>
  <c r="Z11" i="28"/>
  <c r="Z45" i="28"/>
  <c r="Z50" i="28"/>
  <c r="Z67" i="28"/>
  <c r="Z72" i="28"/>
  <c r="Z106" i="28"/>
  <c r="Z111" i="28"/>
  <c r="U116" i="28"/>
  <c r="Z21" i="28"/>
  <c r="Z26" i="28"/>
  <c r="Z43" i="28"/>
  <c r="Z48" i="28"/>
  <c r="Z65" i="28"/>
  <c r="Z82" i="28"/>
  <c r="Z87" i="28"/>
  <c r="Z104" i="28"/>
  <c r="Z109" i="28"/>
  <c r="L13" i="46"/>
  <c r="L29" i="46"/>
  <c r="L48" i="46"/>
  <c r="L77" i="46"/>
  <c r="L86" i="46"/>
  <c r="L102" i="46"/>
  <c r="L107" i="46"/>
  <c r="L113" i="46"/>
  <c r="S125" i="46"/>
  <c r="Q127" i="46"/>
  <c r="L22" i="46"/>
  <c r="L61" i="46"/>
  <c r="L99" i="46"/>
  <c r="L105" i="46"/>
  <c r="L42" i="46"/>
  <c r="L64" i="46"/>
  <c r="L95" i="46"/>
  <c r="L103" i="46"/>
  <c r="L121" i="46"/>
  <c r="L49" i="46"/>
  <c r="L76" i="46"/>
  <c r="L90" i="46"/>
  <c r="L97" i="46"/>
  <c r="L101" i="46"/>
  <c r="L108" i="46"/>
  <c r="L114" i="46"/>
  <c r="K124" i="46"/>
  <c r="L85" i="46"/>
  <c r="L116" i="46"/>
  <c r="L68" i="46"/>
  <c r="L94" i="46"/>
  <c r="L18" i="46"/>
  <c r="L36" i="46"/>
  <c r="L55" i="46"/>
  <c r="L57" i="46"/>
  <c r="L59" i="46"/>
  <c r="L70" i="46"/>
  <c r="L75" i="46"/>
  <c r="L82" i="46"/>
  <c r="S24" i="1"/>
  <c r="K71" i="41"/>
  <c r="S36" i="41"/>
  <c r="L43" i="46"/>
  <c r="L32" i="46"/>
  <c r="L40" i="46"/>
  <c r="L79" i="46"/>
  <c r="I124" i="46"/>
  <c r="N3" i="46"/>
  <c r="J124" i="46"/>
  <c r="L19" i="46"/>
  <c r="L26" i="46"/>
  <c r="L80" i="46"/>
  <c r="AF124" i="46"/>
  <c r="AR12" i="46"/>
  <c r="AS12" i="46" s="1"/>
  <c r="L16" i="46"/>
  <c r="L35" i="46"/>
  <c r="L88" i="46"/>
  <c r="L92" i="46"/>
  <c r="L112" i="46"/>
  <c r="S126" i="46"/>
  <c r="P5" i="46" l="1"/>
  <c r="P6" i="46" s="1"/>
  <c r="Q6" i="46" s="1"/>
  <c r="S18" i="41"/>
  <c r="T57" i="1"/>
  <c r="S44" i="47"/>
  <c r="T52" i="1"/>
  <c r="S19" i="1"/>
  <c r="T77" i="1"/>
  <c r="S70" i="41"/>
  <c r="T37" i="1"/>
  <c r="S127" i="46"/>
  <c r="T30" i="41"/>
  <c r="T80" i="1"/>
  <c r="T18" i="41"/>
  <c r="T32" i="1"/>
  <c r="S32" i="1"/>
  <c r="T70" i="41"/>
  <c r="S77" i="1"/>
  <c r="T19" i="1"/>
  <c r="F71" i="41"/>
  <c r="T71" i="41" s="1"/>
  <c r="T78" i="1"/>
  <c r="F31" i="41"/>
  <c r="T31" i="41" s="1"/>
  <c r="T44" i="47"/>
  <c r="L124" i="46"/>
  <c r="S52" i="1"/>
  <c r="M73" i="41"/>
  <c r="T73" i="41" s="1"/>
  <c r="M49" i="41"/>
  <c r="S49" i="41" s="1"/>
  <c r="N4" i="46"/>
  <c r="P3" i="46"/>
  <c r="P4" i="46" s="1"/>
  <c r="M120" i="46"/>
  <c r="M116" i="46"/>
  <c r="M114" i="46"/>
  <c r="M112" i="46"/>
  <c r="M88" i="46"/>
  <c r="M84" i="46"/>
  <c r="M80" i="46"/>
  <c r="M123" i="46"/>
  <c r="M104" i="46"/>
  <c r="M100" i="46"/>
  <c r="M98" i="46"/>
  <c r="M96" i="46"/>
  <c r="M117" i="46"/>
  <c r="M115" i="46"/>
  <c r="M113" i="46"/>
  <c r="M95" i="46"/>
  <c r="M77" i="46"/>
  <c r="M75" i="46"/>
  <c r="M55" i="46"/>
  <c r="M52" i="46"/>
  <c r="M38" i="46"/>
  <c r="M21" i="46"/>
  <c r="M110" i="46"/>
  <c r="M109" i="46"/>
  <c r="M106" i="46"/>
  <c r="M102" i="46"/>
  <c r="M58" i="46"/>
  <c r="M122" i="46"/>
  <c r="M94" i="46"/>
  <c r="M121" i="46"/>
  <c r="M108" i="46"/>
  <c r="M78" i="46"/>
  <c r="M53" i="46"/>
  <c r="M39" i="46"/>
  <c r="M36" i="46"/>
  <c r="M22" i="46"/>
  <c r="M119" i="46"/>
  <c r="M76" i="46"/>
  <c r="M71" i="46"/>
  <c r="M68" i="46"/>
  <c r="M62" i="46"/>
  <c r="M59" i="46"/>
  <c r="M45" i="46"/>
  <c r="M31" i="46"/>
  <c r="M28" i="46"/>
  <c r="M14" i="46"/>
  <c r="M72" i="46"/>
  <c r="M66" i="46"/>
  <c r="M63" i="46"/>
  <c r="M60" i="46"/>
  <c r="M46" i="46"/>
  <c r="M29" i="46"/>
  <c r="M15" i="46"/>
  <c r="M12" i="46"/>
  <c r="M105" i="46"/>
  <c r="M93" i="46"/>
  <c r="M92" i="46"/>
  <c r="M87" i="46"/>
  <c r="M57" i="46"/>
  <c r="M50" i="46"/>
  <c r="M42" i="46"/>
  <c r="M30" i="46"/>
  <c r="M27" i="46"/>
  <c r="M20" i="46"/>
  <c r="M73" i="46"/>
  <c r="M34" i="46"/>
  <c r="M86" i="46"/>
  <c r="M85" i="46"/>
  <c r="M83" i="46"/>
  <c r="M82" i="46"/>
  <c r="M81" i="46"/>
  <c r="M69" i="46"/>
  <c r="M65" i="46"/>
  <c r="M56" i="46"/>
  <c r="M41" i="46"/>
  <c r="M49" i="46"/>
  <c r="M37" i="46"/>
  <c r="M26" i="46"/>
  <c r="M19" i="46"/>
  <c r="M103" i="46"/>
  <c r="M61" i="46"/>
  <c r="M54" i="46"/>
  <c r="M48" i="46"/>
  <c r="M33" i="46"/>
  <c r="M118" i="46"/>
  <c r="M99" i="46"/>
  <c r="M79" i="46"/>
  <c r="M64" i="46"/>
  <c r="M40" i="46"/>
  <c r="M97" i="46"/>
  <c r="M44" i="46"/>
  <c r="M25" i="46"/>
  <c r="M18" i="46"/>
  <c r="Q18" i="46" s="1"/>
  <c r="M107" i="46"/>
  <c r="M67" i="46"/>
  <c r="M47" i="46"/>
  <c r="M32" i="46"/>
  <c r="M24" i="46"/>
  <c r="M17" i="46"/>
  <c r="M101" i="46"/>
  <c r="M70" i="46"/>
  <c r="M43" i="46"/>
  <c r="M13" i="46"/>
  <c r="M111" i="46"/>
  <c r="M91" i="46"/>
  <c r="M89" i="46"/>
  <c r="M90" i="46"/>
  <c r="M74" i="46"/>
  <c r="M51" i="46"/>
  <c r="M35" i="46"/>
  <c r="M23" i="46"/>
  <c r="M16" i="46"/>
  <c r="T49" i="41" l="1"/>
  <c r="S31" i="41"/>
  <c r="Q16" i="46"/>
  <c r="N16" i="46"/>
  <c r="O16" i="46" s="1"/>
  <c r="P16" i="46" s="1"/>
  <c r="Q23" i="46"/>
  <c r="N23" i="46"/>
  <c r="O23" i="46" s="1"/>
  <c r="P23" i="46" s="1"/>
  <c r="Q35" i="46"/>
  <c r="N35" i="46"/>
  <c r="O35" i="46" s="1"/>
  <c r="P35" i="46" s="1"/>
  <c r="Q51" i="46"/>
  <c r="N51" i="46"/>
  <c r="O51" i="46" s="1"/>
  <c r="P51" i="46" s="1"/>
  <c r="N74" i="46"/>
  <c r="O74" i="46" s="1"/>
  <c r="P74" i="46" s="1"/>
  <c r="Q74" i="46"/>
  <c r="N90" i="46"/>
  <c r="O90" i="46" s="1"/>
  <c r="P90" i="46" s="1"/>
  <c r="Q90" i="46"/>
  <c r="N89" i="46"/>
  <c r="O89" i="46" s="1"/>
  <c r="P89" i="46" s="1"/>
  <c r="Q89" i="46"/>
  <c r="Q91" i="46"/>
  <c r="N91" i="46"/>
  <c r="O91" i="46" s="1"/>
  <c r="P91" i="46" s="1"/>
  <c r="N111" i="46"/>
  <c r="O111" i="46" s="1"/>
  <c r="P111" i="46" s="1"/>
  <c r="Q111" i="46"/>
  <c r="Q13" i="46"/>
  <c r="N13" i="46"/>
  <c r="O13" i="46" s="1"/>
  <c r="P13" i="46" s="1"/>
  <c r="Q43" i="46"/>
  <c r="N43" i="46"/>
  <c r="O43" i="46" s="1"/>
  <c r="P43" i="46" s="1"/>
  <c r="N70" i="46"/>
  <c r="O70" i="46" s="1"/>
  <c r="P70" i="46" s="1"/>
  <c r="Q70" i="46"/>
  <c r="N101" i="46"/>
  <c r="O101" i="46" s="1"/>
  <c r="P101" i="46" s="1"/>
  <c r="Q101" i="46"/>
  <c r="N17" i="46"/>
  <c r="Q17" i="46"/>
  <c r="O17" i="46"/>
  <c r="P17" i="46" s="1"/>
  <c r="N24" i="46"/>
  <c r="O24" i="46" s="1"/>
  <c r="P24" i="46" s="1"/>
  <c r="Q24" i="46"/>
  <c r="N32" i="46"/>
  <c r="O32" i="46" s="1"/>
  <c r="P32" i="46" s="1"/>
  <c r="Q32" i="46"/>
  <c r="Q47" i="46"/>
  <c r="N47" i="46"/>
  <c r="O47" i="46" s="1"/>
  <c r="P47" i="46" s="1"/>
  <c r="N67" i="46"/>
  <c r="O67" i="46" s="1"/>
  <c r="P67" i="46" s="1"/>
  <c r="Q67" i="46"/>
  <c r="N107" i="46"/>
  <c r="O107" i="46" s="1"/>
  <c r="P107" i="46" s="1"/>
  <c r="Q107" i="46"/>
  <c r="N18" i="46"/>
  <c r="O18" i="46" s="1"/>
  <c r="P18" i="46" s="1"/>
  <c r="N25" i="46"/>
  <c r="O25" i="46" s="1"/>
  <c r="P25" i="46" s="1"/>
  <c r="Q25" i="46"/>
  <c r="Q44" i="46"/>
  <c r="N44" i="46"/>
  <c r="O44" i="46" s="1"/>
  <c r="P44" i="46" s="1"/>
  <c r="N97" i="46"/>
  <c r="O97" i="46" s="1"/>
  <c r="P97" i="46" s="1"/>
  <c r="Q97" i="46"/>
  <c r="Q40" i="46"/>
  <c r="N40" i="46"/>
  <c r="O40" i="46" s="1"/>
  <c r="P40" i="46" s="1"/>
  <c r="N64" i="46"/>
  <c r="O64" i="46" s="1"/>
  <c r="P64" i="46" s="1"/>
  <c r="Q64" i="46"/>
  <c r="Q79" i="46"/>
  <c r="N79" i="46"/>
  <c r="O79" i="46" s="1"/>
  <c r="P79" i="46" s="1"/>
  <c r="Q99" i="46"/>
  <c r="N99" i="46"/>
  <c r="O99" i="46" s="1"/>
  <c r="P99" i="46" s="1"/>
  <c r="N118" i="46"/>
  <c r="O118" i="46" s="1"/>
  <c r="P118" i="46" s="1"/>
  <c r="Q118" i="46"/>
  <c r="Q33" i="46"/>
  <c r="N33" i="46"/>
  <c r="O33" i="46" s="1"/>
  <c r="P33" i="46" s="1"/>
  <c r="N48" i="46"/>
  <c r="O48" i="46" s="1"/>
  <c r="P48" i="46" s="1"/>
  <c r="Q48" i="46"/>
  <c r="N54" i="46"/>
  <c r="O54" i="46" s="1"/>
  <c r="P54" i="46" s="1"/>
  <c r="Q54" i="46"/>
  <c r="Q61" i="46"/>
  <c r="N61" i="46"/>
  <c r="O61" i="46" s="1"/>
  <c r="P61" i="46" s="1"/>
  <c r="N103" i="46"/>
  <c r="O103" i="46" s="1"/>
  <c r="P103" i="46" s="1"/>
  <c r="Q103" i="46"/>
  <c r="Q19" i="46"/>
  <c r="N19" i="46"/>
  <c r="O19" i="46" s="1"/>
  <c r="P19" i="46" s="1"/>
  <c r="N26" i="46"/>
  <c r="O26" i="46" s="1"/>
  <c r="P26" i="46" s="1"/>
  <c r="Q26" i="46"/>
  <c r="Q37" i="46"/>
  <c r="N37" i="46"/>
  <c r="O37" i="46" s="1"/>
  <c r="P37" i="46" s="1"/>
  <c r="N49" i="46"/>
  <c r="O49" i="46" s="1"/>
  <c r="P49" i="46" s="1"/>
  <c r="Q49" i="46"/>
  <c r="N41" i="46"/>
  <c r="O41" i="46" s="1"/>
  <c r="P41" i="46" s="1"/>
  <c r="Q41" i="46"/>
  <c r="Q56" i="46"/>
  <c r="N56" i="46"/>
  <c r="O56" i="46" s="1"/>
  <c r="P56" i="46" s="1"/>
  <c r="N65" i="46"/>
  <c r="O65" i="46" s="1"/>
  <c r="P65" i="46" s="1"/>
  <c r="Q65" i="46"/>
  <c r="N69" i="46"/>
  <c r="O69" i="46" s="1"/>
  <c r="P69" i="46" s="1"/>
  <c r="Q69" i="46"/>
  <c r="N81" i="46"/>
  <c r="O81" i="46" s="1"/>
  <c r="P81" i="46" s="1"/>
  <c r="Q81" i="46"/>
  <c r="N82" i="46"/>
  <c r="O82" i="46" s="1"/>
  <c r="P82" i="46" s="1"/>
  <c r="Q82" i="46"/>
  <c r="Q83" i="46"/>
  <c r="N83" i="46"/>
  <c r="O83" i="46" s="1"/>
  <c r="P83" i="46" s="1"/>
  <c r="N85" i="46"/>
  <c r="O85" i="46" s="1"/>
  <c r="P85" i="46" s="1"/>
  <c r="Q85" i="46"/>
  <c r="N86" i="46"/>
  <c r="O86" i="46" s="1"/>
  <c r="P86" i="46" s="1"/>
  <c r="Q86" i="46"/>
  <c r="N34" i="46"/>
  <c r="O34" i="46" s="1"/>
  <c r="P34" i="46" s="1"/>
  <c r="Q34" i="46"/>
  <c r="N73" i="46"/>
  <c r="O73" i="46" s="1"/>
  <c r="P73" i="46" s="1"/>
  <c r="Q73" i="46"/>
  <c r="Q20" i="46"/>
  <c r="N20" i="46"/>
  <c r="O20" i="46" s="1"/>
  <c r="P20" i="46" s="1"/>
  <c r="Q27" i="46"/>
  <c r="N27" i="46"/>
  <c r="O27" i="46" s="1"/>
  <c r="P27" i="46" s="1"/>
  <c r="N30" i="46"/>
  <c r="O30" i="46" s="1"/>
  <c r="P30" i="46" s="1"/>
  <c r="Q30" i="46"/>
  <c r="N42" i="46"/>
  <c r="O42" i="46" s="1"/>
  <c r="P42" i="46" s="1"/>
  <c r="Q42" i="46"/>
  <c r="N50" i="46"/>
  <c r="O50" i="46" s="1"/>
  <c r="P50" i="46" s="1"/>
  <c r="Q50" i="46"/>
  <c r="Q57" i="46"/>
  <c r="N57" i="46"/>
  <c r="O57" i="46" s="1"/>
  <c r="P57" i="46" s="1"/>
  <c r="Q87" i="46"/>
  <c r="N87" i="46"/>
  <c r="O87" i="46" s="1"/>
  <c r="P87" i="46" s="1"/>
  <c r="N92" i="46"/>
  <c r="O92" i="46" s="1"/>
  <c r="P92" i="46" s="1"/>
  <c r="Q92" i="46"/>
  <c r="Q93" i="46"/>
  <c r="N93" i="46"/>
  <c r="O93" i="46" s="1"/>
  <c r="P93" i="46" s="1"/>
  <c r="N105" i="46"/>
  <c r="O105" i="46" s="1"/>
  <c r="P105" i="46" s="1"/>
  <c r="Q105" i="46"/>
  <c r="M124" i="46"/>
  <c r="M126" i="46" s="1"/>
  <c r="Q12" i="46"/>
  <c r="N12" i="46"/>
  <c r="Q15" i="46"/>
  <c r="N15" i="46"/>
  <c r="O15" i="46" s="1"/>
  <c r="P15" i="46" s="1"/>
  <c r="Q29" i="46"/>
  <c r="N29" i="46"/>
  <c r="O29" i="46" s="1"/>
  <c r="P29" i="46" s="1"/>
  <c r="N46" i="46"/>
  <c r="O46" i="46" s="1"/>
  <c r="P46" i="46" s="1"/>
  <c r="Q46" i="46"/>
  <c r="Q60" i="46"/>
  <c r="N60" i="46"/>
  <c r="O60" i="46" s="1"/>
  <c r="P60" i="46" s="1"/>
  <c r="Q63" i="46"/>
  <c r="N63" i="46"/>
  <c r="O63" i="46" s="1"/>
  <c r="P63" i="46" s="1"/>
  <c r="Q66" i="46"/>
  <c r="N66" i="46"/>
  <c r="O66" i="46" s="1"/>
  <c r="P66" i="46" s="1"/>
  <c r="Q72" i="46"/>
  <c r="N72" i="46"/>
  <c r="O72" i="46" s="1"/>
  <c r="P72" i="46" s="1"/>
  <c r="N14" i="46"/>
  <c r="O14" i="46" s="1"/>
  <c r="P14" i="46" s="1"/>
  <c r="Q14" i="46"/>
  <c r="Q28" i="46"/>
  <c r="N28" i="46"/>
  <c r="O28" i="46" s="1"/>
  <c r="P28" i="46" s="1"/>
  <c r="Q31" i="46"/>
  <c r="N31" i="46"/>
  <c r="O31" i="46" s="1"/>
  <c r="P31" i="46" s="1"/>
  <c r="N45" i="46"/>
  <c r="O45" i="46" s="1"/>
  <c r="P45" i="46" s="1"/>
  <c r="Q45" i="46"/>
  <c r="Q59" i="46"/>
  <c r="N59" i="46"/>
  <c r="O59" i="46" s="1"/>
  <c r="P59" i="46" s="1"/>
  <c r="Q62" i="46"/>
  <c r="N62" i="46"/>
  <c r="O62" i="46" s="1"/>
  <c r="P62" i="46" s="1"/>
  <c r="Q68" i="46"/>
  <c r="N68" i="46"/>
  <c r="O68" i="46" s="1"/>
  <c r="P68" i="46" s="1"/>
  <c r="Q71" i="46"/>
  <c r="N71" i="46"/>
  <c r="O71" i="46" s="1"/>
  <c r="P71" i="46" s="1"/>
  <c r="Q76" i="46"/>
  <c r="N76" i="46"/>
  <c r="O76" i="46" s="1"/>
  <c r="P76" i="46" s="1"/>
  <c r="Q119" i="46"/>
  <c r="N119" i="46"/>
  <c r="O119" i="46" s="1"/>
  <c r="P119" i="46" s="1"/>
  <c r="N22" i="46"/>
  <c r="O22" i="46" s="1"/>
  <c r="P22" i="46" s="1"/>
  <c r="Q22" i="46"/>
  <c r="Q36" i="46"/>
  <c r="N36" i="46"/>
  <c r="O36" i="46" s="1"/>
  <c r="P36" i="46" s="1"/>
  <c r="Q39" i="46"/>
  <c r="N39" i="46"/>
  <c r="O39" i="46" s="1"/>
  <c r="P39" i="46" s="1"/>
  <c r="Q53" i="46"/>
  <c r="N53" i="46"/>
  <c r="O53" i="46" s="1"/>
  <c r="P53" i="46" s="1"/>
  <c r="N78" i="46"/>
  <c r="O78" i="46" s="1"/>
  <c r="P78" i="46" s="1"/>
  <c r="Q78" i="46"/>
  <c r="Q108" i="46"/>
  <c r="N108" i="46"/>
  <c r="O108" i="46" s="1"/>
  <c r="P108" i="46" s="1"/>
  <c r="Q121" i="46"/>
  <c r="N121" i="46"/>
  <c r="O121" i="46"/>
  <c r="P121" i="46" s="1"/>
  <c r="N94" i="46"/>
  <c r="O94" i="46" s="1"/>
  <c r="P94" i="46" s="1"/>
  <c r="Q94" i="46"/>
  <c r="N122" i="46"/>
  <c r="O122" i="46" s="1"/>
  <c r="P122" i="46" s="1"/>
  <c r="Q122" i="46"/>
  <c r="N58" i="46"/>
  <c r="O58" i="46" s="1"/>
  <c r="P58" i="46" s="1"/>
  <c r="Q58" i="46"/>
  <c r="N102" i="46"/>
  <c r="O102" i="46" s="1"/>
  <c r="P102" i="46" s="1"/>
  <c r="Q102" i="46"/>
  <c r="N106" i="46"/>
  <c r="O106" i="46" s="1"/>
  <c r="P106" i="46" s="1"/>
  <c r="Q106" i="46"/>
  <c r="Q109" i="46"/>
  <c r="N109" i="46"/>
  <c r="O109" i="46" s="1"/>
  <c r="P109" i="46" s="1"/>
  <c r="Q110" i="46"/>
  <c r="N110" i="46"/>
  <c r="O110" i="46" s="1"/>
  <c r="P110" i="46" s="1"/>
  <c r="Q21" i="46"/>
  <c r="N21" i="46"/>
  <c r="O21" i="46" s="1"/>
  <c r="P21" i="46" s="1"/>
  <c r="N38" i="46"/>
  <c r="O38" i="46" s="1"/>
  <c r="P38" i="46" s="1"/>
  <c r="Q38" i="46"/>
  <c r="Q52" i="46"/>
  <c r="N52" i="46"/>
  <c r="O52" i="46" s="1"/>
  <c r="P52" i="46" s="1"/>
  <c r="Q55" i="46"/>
  <c r="N55" i="46"/>
  <c r="O55" i="46" s="1"/>
  <c r="P55" i="46" s="1"/>
  <c r="Q75" i="46"/>
  <c r="N75" i="46"/>
  <c r="O75" i="46" s="1"/>
  <c r="P75" i="46" s="1"/>
  <c r="Q77" i="46"/>
  <c r="N77" i="46"/>
  <c r="O77" i="46" s="1"/>
  <c r="P77" i="46" s="1"/>
  <c r="Q95" i="46"/>
  <c r="N95" i="46"/>
  <c r="O95" i="46" s="1"/>
  <c r="P95" i="46" s="1"/>
  <c r="Q113" i="46"/>
  <c r="N113" i="46"/>
  <c r="O113" i="46" s="1"/>
  <c r="P113" i="46" s="1"/>
  <c r="Q115" i="46"/>
  <c r="N115" i="46"/>
  <c r="O115" i="46" s="1"/>
  <c r="P115" i="46" s="1"/>
  <c r="Q117" i="46"/>
  <c r="N117" i="46"/>
  <c r="O117" i="46" s="1"/>
  <c r="P117" i="46" s="1"/>
  <c r="Q96" i="46"/>
  <c r="N96" i="46"/>
  <c r="O96" i="46" s="1"/>
  <c r="P96" i="46" s="1"/>
  <c r="Q98" i="46"/>
  <c r="N98" i="46"/>
  <c r="O98" i="46" s="1"/>
  <c r="P98" i="46" s="1"/>
  <c r="N100" i="46"/>
  <c r="O100" i="46" s="1"/>
  <c r="P100" i="46" s="1"/>
  <c r="Q100" i="46"/>
  <c r="N104" i="46"/>
  <c r="O104" i="46" s="1"/>
  <c r="P104" i="46" s="1"/>
  <c r="Q104" i="46"/>
  <c r="Q123" i="46"/>
  <c r="N123" i="46"/>
  <c r="O123" i="46" s="1"/>
  <c r="P123" i="46" s="1"/>
  <c r="Q80" i="46"/>
  <c r="N80" i="46"/>
  <c r="O80" i="46" s="1"/>
  <c r="P80" i="46" s="1"/>
  <c r="Q84" i="46"/>
  <c r="N84" i="46"/>
  <c r="O84" i="46" s="1"/>
  <c r="P84" i="46" s="1"/>
  <c r="Q88" i="46"/>
  <c r="N88" i="46"/>
  <c r="O88" i="46" s="1"/>
  <c r="P88" i="46" s="1"/>
  <c r="N112" i="46"/>
  <c r="O112" i="46" s="1"/>
  <c r="P112" i="46" s="1"/>
  <c r="Q112" i="46"/>
  <c r="N114" i="46"/>
  <c r="O114" i="46" s="1"/>
  <c r="P114" i="46" s="1"/>
  <c r="Q114" i="46"/>
  <c r="Q116" i="46"/>
  <c r="N116" i="46"/>
  <c r="O116" i="46" s="1"/>
  <c r="P116" i="46" s="1"/>
  <c r="Q120" i="46"/>
  <c r="N120" i="46"/>
  <c r="O120" i="46" s="1"/>
  <c r="P120" i="46" s="1"/>
  <c r="N124" i="46" l="1"/>
  <c r="S103" i="46"/>
  <c r="R103" i="46"/>
  <c r="Y103" i="46" s="1"/>
  <c r="Z103" i="46" s="1"/>
  <c r="AB103" i="46" s="1"/>
  <c r="R32" i="46"/>
  <c r="S32" i="46"/>
  <c r="S13" i="46"/>
  <c r="R13" i="46"/>
  <c r="S123" i="46"/>
  <c r="R123" i="46"/>
  <c r="Y123" i="46" s="1"/>
  <c r="Z123" i="46" s="1"/>
  <c r="AB123" i="46" s="1"/>
  <c r="R59" i="46"/>
  <c r="S59" i="46"/>
  <c r="S66" i="46"/>
  <c r="R66" i="46"/>
  <c r="R20" i="46"/>
  <c r="S20" i="46"/>
  <c r="S41" i="46"/>
  <c r="R41" i="46"/>
  <c r="S61" i="46"/>
  <c r="R61" i="46"/>
  <c r="R22" i="46"/>
  <c r="S22" i="46"/>
  <c r="R114" i="46"/>
  <c r="S114" i="46"/>
  <c r="R38" i="46"/>
  <c r="S38" i="46"/>
  <c r="Y38" i="46" s="1"/>
  <c r="Z38" i="46" s="1"/>
  <c r="AB38" i="46" s="1"/>
  <c r="S45" i="46"/>
  <c r="R45" i="46"/>
  <c r="R73" i="46"/>
  <c r="S73" i="46"/>
  <c r="S54" i="46"/>
  <c r="R54" i="46"/>
  <c r="S91" i="46"/>
  <c r="R91" i="46"/>
  <c r="R95" i="46"/>
  <c r="S95" i="46"/>
  <c r="S21" i="46"/>
  <c r="R21" i="46"/>
  <c r="R76" i="46"/>
  <c r="Y76" i="46" s="1"/>
  <c r="Z76" i="46" s="1"/>
  <c r="AB76" i="46" s="1"/>
  <c r="S76" i="46"/>
  <c r="R31" i="46"/>
  <c r="S31" i="46"/>
  <c r="R37" i="46"/>
  <c r="S37" i="46"/>
  <c r="S112" i="46"/>
  <c r="R112" i="46"/>
  <c r="S100" i="46"/>
  <c r="R100" i="46"/>
  <c r="S58" i="46"/>
  <c r="R58" i="46"/>
  <c r="R48" i="46"/>
  <c r="S48" i="46"/>
  <c r="S64" i="46"/>
  <c r="R64" i="46"/>
  <c r="S107" i="46"/>
  <c r="R107" i="46"/>
  <c r="Y107" i="46" s="1"/>
  <c r="Z107" i="46" s="1"/>
  <c r="AB107" i="46" s="1"/>
  <c r="R16" i="46"/>
  <c r="S16" i="46"/>
  <c r="S113" i="46"/>
  <c r="R113" i="46"/>
  <c r="S88" i="46"/>
  <c r="R88" i="46"/>
  <c r="R53" i="46"/>
  <c r="Q5" i="46"/>
  <c r="S53" i="46"/>
  <c r="R71" i="46"/>
  <c r="S71" i="46"/>
  <c r="S28" i="46"/>
  <c r="R28" i="46"/>
  <c r="Y28" i="46" s="1"/>
  <c r="Z28" i="46" s="1"/>
  <c r="AB28" i="46" s="1"/>
  <c r="R93" i="46"/>
  <c r="S93" i="46"/>
  <c r="R33" i="46"/>
  <c r="S33" i="46"/>
  <c r="R40" i="46"/>
  <c r="S40" i="46"/>
  <c r="S101" i="46"/>
  <c r="R101" i="46"/>
  <c r="Y101" i="46" s="1"/>
  <c r="Z101" i="46" s="1"/>
  <c r="AB101" i="46" s="1"/>
  <c r="AC101" i="46" s="1"/>
  <c r="S89" i="46"/>
  <c r="R89" i="46"/>
  <c r="S42" i="46"/>
  <c r="R42" i="46"/>
  <c r="Y42" i="46" s="1"/>
  <c r="Z42" i="46" s="1"/>
  <c r="AB42" i="46" s="1"/>
  <c r="S86" i="46"/>
  <c r="R86" i="46"/>
  <c r="Y86" i="46" s="1"/>
  <c r="Z86" i="46" s="1"/>
  <c r="AB86" i="46" s="1"/>
  <c r="R26" i="46"/>
  <c r="S26" i="46"/>
  <c r="R67" i="46"/>
  <c r="S67" i="46"/>
  <c r="R24" i="46"/>
  <c r="S24" i="46"/>
  <c r="S84" i="46"/>
  <c r="R84" i="46"/>
  <c r="S75" i="46"/>
  <c r="R75" i="46"/>
  <c r="Y75" i="46" s="1"/>
  <c r="Z75" i="46" s="1"/>
  <c r="AB75" i="46" s="1"/>
  <c r="R109" i="46"/>
  <c r="S109" i="46"/>
  <c r="Y109" i="46" s="1"/>
  <c r="Z109" i="46" s="1"/>
  <c r="AB109" i="46" s="1"/>
  <c r="AC109" i="46" s="1"/>
  <c r="R39" i="46"/>
  <c r="S39" i="46"/>
  <c r="R68" i="46"/>
  <c r="S68" i="46"/>
  <c r="R46" i="46"/>
  <c r="S46" i="46"/>
  <c r="S65" i="46"/>
  <c r="R65" i="46"/>
  <c r="S19" i="46"/>
  <c r="R19" i="46"/>
  <c r="R47" i="46"/>
  <c r="S47" i="46"/>
  <c r="Y47" i="46" s="1"/>
  <c r="Z47" i="46" s="1"/>
  <c r="AB47" i="46" s="1"/>
  <c r="R70" i="46"/>
  <c r="S70" i="46"/>
  <c r="S94" i="46"/>
  <c r="R94" i="46"/>
  <c r="Y94" i="46" s="1"/>
  <c r="Z94" i="46" s="1"/>
  <c r="AB94" i="46" s="1"/>
  <c r="AC94" i="46" s="1"/>
  <c r="R14" i="46"/>
  <c r="S14" i="46"/>
  <c r="R29" i="46"/>
  <c r="S29" i="46"/>
  <c r="R92" i="46"/>
  <c r="S92" i="46"/>
  <c r="Y92" i="46" s="1"/>
  <c r="Z92" i="46" s="1"/>
  <c r="AB92" i="46" s="1"/>
  <c r="R30" i="46"/>
  <c r="S30" i="46"/>
  <c r="S35" i="46"/>
  <c r="R35" i="46"/>
  <c r="S79" i="46"/>
  <c r="R79" i="46"/>
  <c r="S120" i="46"/>
  <c r="R120" i="46"/>
  <c r="Y120" i="46" s="1"/>
  <c r="Z120" i="46" s="1"/>
  <c r="AB120" i="46" s="1"/>
  <c r="S80" i="46"/>
  <c r="R80" i="46"/>
  <c r="S117" i="46"/>
  <c r="R117" i="46"/>
  <c r="R55" i="46"/>
  <c r="S55" i="46"/>
  <c r="R36" i="46"/>
  <c r="S36" i="46"/>
  <c r="S62" i="46"/>
  <c r="R62" i="46"/>
  <c r="S72" i="46"/>
  <c r="R72" i="46"/>
  <c r="R87" i="46"/>
  <c r="S87" i="46"/>
  <c r="S27" i="46"/>
  <c r="R27" i="46"/>
  <c r="Y27" i="46" s="1"/>
  <c r="Z27" i="46" s="1"/>
  <c r="AB27" i="46" s="1"/>
  <c r="R83" i="46"/>
  <c r="S83" i="46"/>
  <c r="R74" i="46"/>
  <c r="S74" i="46"/>
  <c r="S96" i="46"/>
  <c r="R96" i="46"/>
  <c r="R104" i="46"/>
  <c r="S104" i="46"/>
  <c r="S78" i="46"/>
  <c r="R78" i="46"/>
  <c r="R77" i="46"/>
  <c r="S77" i="46"/>
  <c r="S60" i="46"/>
  <c r="R60" i="46"/>
  <c r="S115" i="46"/>
  <c r="R115" i="46"/>
  <c r="Y115" i="46" s="1"/>
  <c r="Z115" i="46" s="1"/>
  <c r="AB115" i="46" s="1"/>
  <c r="R119" i="46"/>
  <c r="S119" i="46"/>
  <c r="R15" i="46"/>
  <c r="S15" i="46"/>
  <c r="R43" i="46"/>
  <c r="S43" i="46"/>
  <c r="R105" i="46"/>
  <c r="S105" i="46"/>
  <c r="O12" i="46"/>
  <c r="R98" i="46"/>
  <c r="S98" i="46"/>
  <c r="Y98" i="46" s="1"/>
  <c r="Z98" i="46" s="1"/>
  <c r="AB98" i="46" s="1"/>
  <c r="R56" i="46"/>
  <c r="S56" i="46"/>
  <c r="S18" i="46"/>
  <c r="R18" i="46"/>
  <c r="S34" i="46"/>
  <c r="R34" i="46"/>
  <c r="S44" i="46"/>
  <c r="R44" i="46"/>
  <c r="S110" i="46"/>
  <c r="R110" i="46"/>
  <c r="Y110" i="46" s="1"/>
  <c r="Z110" i="46" s="1"/>
  <c r="AB110" i="46" s="1"/>
  <c r="S51" i="46"/>
  <c r="R51" i="46"/>
  <c r="R25" i="46"/>
  <c r="S25" i="46"/>
  <c r="S90" i="46"/>
  <c r="R90" i="46"/>
  <c r="Y90" i="46" s="1"/>
  <c r="Z90" i="46" s="1"/>
  <c r="AB90" i="46" s="1"/>
  <c r="Y16" i="46"/>
  <c r="Z16" i="46" s="1"/>
  <c r="AB16" i="46" s="1"/>
  <c r="R97" i="46"/>
  <c r="S97" i="46"/>
  <c r="Y97" i="46" s="1"/>
  <c r="Z97" i="46" s="1"/>
  <c r="AB97" i="46" s="1"/>
  <c r="R52" i="46"/>
  <c r="S52" i="46"/>
  <c r="S82" i="46"/>
  <c r="R82" i="46"/>
  <c r="R23" i="46"/>
  <c r="S23" i="46"/>
  <c r="Y19" i="46"/>
  <c r="Z19" i="46" s="1"/>
  <c r="AB19" i="46" s="1"/>
  <c r="R116" i="46"/>
  <c r="S116" i="46"/>
  <c r="R106" i="46"/>
  <c r="S106" i="46"/>
  <c r="R102" i="46"/>
  <c r="S102" i="46"/>
  <c r="S122" i="46"/>
  <c r="R122" i="46"/>
  <c r="R121" i="46"/>
  <c r="S121" i="46"/>
  <c r="S108" i="46"/>
  <c r="R108" i="46"/>
  <c r="Y108" i="46" s="1"/>
  <c r="Z108" i="46" s="1"/>
  <c r="AB108" i="46" s="1"/>
  <c r="AC108" i="46" s="1"/>
  <c r="R63" i="46"/>
  <c r="S63" i="46"/>
  <c r="Q124" i="46"/>
  <c r="Q128" i="46" s="1"/>
  <c r="R57" i="46"/>
  <c r="S57" i="46"/>
  <c r="S50" i="46"/>
  <c r="R50" i="46"/>
  <c r="R85" i="46"/>
  <c r="S85" i="46"/>
  <c r="S81" i="46"/>
  <c r="R81" i="46"/>
  <c r="R69" i="46"/>
  <c r="S69" i="46"/>
  <c r="R49" i="46"/>
  <c r="S49" i="46"/>
  <c r="S118" i="46"/>
  <c r="R118" i="46"/>
  <c r="R99" i="46"/>
  <c r="S99" i="46"/>
  <c r="S17" i="46"/>
  <c r="R17" i="46"/>
  <c r="R111" i="46"/>
  <c r="S111" i="46"/>
  <c r="Y50" i="46" l="1"/>
  <c r="Z50" i="46" s="1"/>
  <c r="AB50" i="46" s="1"/>
  <c r="Y52" i="46"/>
  <c r="Z52" i="46" s="1"/>
  <c r="AB52" i="46" s="1"/>
  <c r="Y48" i="46"/>
  <c r="Z48" i="46" s="1"/>
  <c r="AB48" i="46" s="1"/>
  <c r="AG48" i="46" s="1"/>
  <c r="Y21" i="46"/>
  <c r="Z21" i="46" s="1"/>
  <c r="AB21" i="46" s="1"/>
  <c r="Y61" i="46"/>
  <c r="Z61" i="46" s="1"/>
  <c r="AB61" i="46" s="1"/>
  <c r="AC61" i="46" s="1"/>
  <c r="Y13" i="46"/>
  <c r="Z13" i="46" s="1"/>
  <c r="AB13" i="46" s="1"/>
  <c r="Y37" i="46"/>
  <c r="Z37" i="46" s="1"/>
  <c r="AB37" i="46" s="1"/>
  <c r="Y93" i="46"/>
  <c r="Z93" i="46" s="1"/>
  <c r="AB93" i="46" s="1"/>
  <c r="AC93" i="46" s="1"/>
  <c r="Y46" i="46"/>
  <c r="Z46" i="46" s="1"/>
  <c r="AB46" i="46" s="1"/>
  <c r="Y117" i="46"/>
  <c r="Z117" i="46" s="1"/>
  <c r="AB117" i="46" s="1"/>
  <c r="Y35" i="46"/>
  <c r="Z35" i="46" s="1"/>
  <c r="AB35" i="46" s="1"/>
  <c r="AG35" i="46" s="1"/>
  <c r="Y43" i="46"/>
  <c r="Z43" i="46" s="1"/>
  <c r="AB43" i="46" s="1"/>
  <c r="AC43" i="46" s="1"/>
  <c r="Y88" i="46"/>
  <c r="Z88" i="46" s="1"/>
  <c r="AB88" i="46" s="1"/>
  <c r="Y95" i="46"/>
  <c r="Z95" i="46" s="1"/>
  <c r="AB95" i="46" s="1"/>
  <c r="AC95" i="46" s="1"/>
  <c r="Y44" i="46"/>
  <c r="Z44" i="46" s="1"/>
  <c r="AB44" i="46" s="1"/>
  <c r="AC44" i="46" s="1"/>
  <c r="Y91" i="46"/>
  <c r="Z91" i="46" s="1"/>
  <c r="AB91" i="46" s="1"/>
  <c r="Y41" i="46"/>
  <c r="Z41" i="46" s="1"/>
  <c r="AB41" i="46" s="1"/>
  <c r="AG41" i="46" s="1"/>
  <c r="Y32" i="46"/>
  <c r="Z32" i="46" s="1"/>
  <c r="AB32" i="46" s="1"/>
  <c r="AC32" i="46" s="1"/>
  <c r="Y114" i="46"/>
  <c r="Z114" i="46" s="1"/>
  <c r="AB114" i="46" s="1"/>
  <c r="AC114" i="46" s="1"/>
  <c r="Y33" i="46"/>
  <c r="Z33" i="46" s="1"/>
  <c r="AB33" i="46" s="1"/>
  <c r="AC33" i="46" s="1"/>
  <c r="Y54" i="46"/>
  <c r="Z54" i="46" s="1"/>
  <c r="AB54" i="46" s="1"/>
  <c r="AC54" i="46" s="1"/>
  <c r="Y45" i="46"/>
  <c r="Z45" i="46" s="1"/>
  <c r="AB45" i="46" s="1"/>
  <c r="AG45" i="46" s="1"/>
  <c r="Y20" i="46"/>
  <c r="Z20" i="46" s="1"/>
  <c r="AB20" i="46" s="1"/>
  <c r="Y51" i="46"/>
  <c r="Z51" i="46" s="1"/>
  <c r="AB51" i="46" s="1"/>
  <c r="AG51" i="46" s="1"/>
  <c r="Y62" i="46"/>
  <c r="Z62" i="46" s="1"/>
  <c r="AB62" i="46" s="1"/>
  <c r="AG62" i="46" s="1"/>
  <c r="Y66" i="46"/>
  <c r="Z66" i="46" s="1"/>
  <c r="AB66" i="46" s="1"/>
  <c r="AG66" i="46" s="1"/>
  <c r="Y104" i="46"/>
  <c r="Z104" i="46" s="1"/>
  <c r="AB104" i="46" s="1"/>
  <c r="AC104" i="46" s="1"/>
  <c r="Y74" i="46"/>
  <c r="Z74" i="46" s="1"/>
  <c r="AB74" i="46" s="1"/>
  <c r="AG74" i="46" s="1"/>
  <c r="Y36" i="46"/>
  <c r="Z36" i="46" s="1"/>
  <c r="AB36" i="46" s="1"/>
  <c r="Y14" i="46"/>
  <c r="Z14" i="46" s="1"/>
  <c r="AB14" i="46" s="1"/>
  <c r="AC14" i="46" s="1"/>
  <c r="Y70" i="46"/>
  <c r="Z70" i="46" s="1"/>
  <c r="AB70" i="46" s="1"/>
  <c r="AG70" i="46" s="1"/>
  <c r="Y39" i="46"/>
  <c r="Z39" i="46" s="1"/>
  <c r="AB39" i="46" s="1"/>
  <c r="AC39" i="46" s="1"/>
  <c r="Y26" i="46"/>
  <c r="Z26" i="46" s="1"/>
  <c r="AB26" i="46" s="1"/>
  <c r="Y89" i="46"/>
  <c r="Z89" i="46" s="1"/>
  <c r="AB89" i="46" s="1"/>
  <c r="AC89" i="46" s="1"/>
  <c r="Y58" i="46"/>
  <c r="Z58" i="46" s="1"/>
  <c r="AB58" i="46" s="1"/>
  <c r="AC58" i="46" s="1"/>
  <c r="Y17" i="46"/>
  <c r="Z17" i="46" s="1"/>
  <c r="AB17" i="46" s="1"/>
  <c r="Y15" i="46"/>
  <c r="Z15" i="46" s="1"/>
  <c r="AB15" i="46" s="1"/>
  <c r="AC15" i="46" s="1"/>
  <c r="Y77" i="46"/>
  <c r="Z77" i="46" s="1"/>
  <c r="AB77" i="46" s="1"/>
  <c r="AG77" i="46" s="1"/>
  <c r="Y83" i="46"/>
  <c r="Z83" i="46" s="1"/>
  <c r="AB83" i="46" s="1"/>
  <c r="AC83" i="46" s="1"/>
  <c r="Y55" i="46"/>
  <c r="Z55" i="46" s="1"/>
  <c r="AB55" i="46" s="1"/>
  <c r="AG55" i="46" s="1"/>
  <c r="Y119" i="46"/>
  <c r="Z119" i="46" s="1"/>
  <c r="AB119" i="46" s="1"/>
  <c r="AG119" i="46" s="1"/>
  <c r="Y100" i="46"/>
  <c r="Z100" i="46" s="1"/>
  <c r="AB100" i="46" s="1"/>
  <c r="AC100" i="46" s="1"/>
  <c r="Y25" i="46"/>
  <c r="Z25" i="46" s="1"/>
  <c r="AB25" i="46" s="1"/>
  <c r="AC25" i="46" s="1"/>
  <c r="Y40" i="46"/>
  <c r="Z40" i="46" s="1"/>
  <c r="AB40" i="46" s="1"/>
  <c r="AG40" i="46" s="1"/>
  <c r="Y23" i="46"/>
  <c r="Z23" i="46" s="1"/>
  <c r="AB23" i="46" s="1"/>
  <c r="AC23" i="46" s="1"/>
  <c r="Y87" i="46"/>
  <c r="Z87" i="46" s="1"/>
  <c r="AB87" i="46" s="1"/>
  <c r="AG87" i="46" s="1"/>
  <c r="Y84" i="46"/>
  <c r="Z84" i="46" s="1"/>
  <c r="AB84" i="46" s="1"/>
  <c r="AC84" i="46" s="1"/>
  <c r="Y64" i="46"/>
  <c r="Z64" i="46" s="1"/>
  <c r="AB64" i="46" s="1"/>
  <c r="AG64" i="46" s="1"/>
  <c r="Y85" i="46"/>
  <c r="Z85" i="46" s="1"/>
  <c r="AB85" i="46" s="1"/>
  <c r="AC85" i="46" s="1"/>
  <c r="Y118" i="46"/>
  <c r="Z118" i="46" s="1"/>
  <c r="AB118" i="46" s="1"/>
  <c r="AG118" i="46" s="1"/>
  <c r="Y102" i="46"/>
  <c r="Z102" i="46" s="1"/>
  <c r="AB102" i="46" s="1"/>
  <c r="Y29" i="46"/>
  <c r="Z29" i="46" s="1"/>
  <c r="AB29" i="46" s="1"/>
  <c r="AC29" i="46" s="1"/>
  <c r="Y68" i="46"/>
  <c r="Z68" i="46" s="1"/>
  <c r="AB68" i="46" s="1"/>
  <c r="AG68" i="46" s="1"/>
  <c r="Y73" i="46"/>
  <c r="Z73" i="46" s="1"/>
  <c r="AB73" i="46" s="1"/>
  <c r="AC73" i="46" s="1"/>
  <c r="Y99" i="46"/>
  <c r="Z99" i="46" s="1"/>
  <c r="AB99" i="46" s="1"/>
  <c r="AC99" i="46" s="1"/>
  <c r="Y79" i="46"/>
  <c r="Z79" i="46" s="1"/>
  <c r="AB79" i="46" s="1"/>
  <c r="AC79" i="46" s="1"/>
  <c r="Y105" i="46"/>
  <c r="Z105" i="46" s="1"/>
  <c r="AB105" i="46" s="1"/>
  <c r="AC105" i="46" s="1"/>
  <c r="Y60" i="46"/>
  <c r="Z60" i="46" s="1"/>
  <c r="AB60" i="46" s="1"/>
  <c r="AC60" i="46" s="1"/>
  <c r="Y31" i="46"/>
  <c r="Z31" i="46" s="1"/>
  <c r="AB31" i="46" s="1"/>
  <c r="AC31" i="46" s="1"/>
  <c r="Y82" i="46"/>
  <c r="Z82" i="46" s="1"/>
  <c r="AB82" i="46" s="1"/>
  <c r="AC82" i="46" s="1"/>
  <c r="Y34" i="46"/>
  <c r="Z34" i="46" s="1"/>
  <c r="AB34" i="46" s="1"/>
  <c r="AG34" i="46" s="1"/>
  <c r="Y96" i="46"/>
  <c r="Z96" i="46" s="1"/>
  <c r="AB96" i="46" s="1"/>
  <c r="AC96" i="46" s="1"/>
  <c r="Y113" i="46"/>
  <c r="Z113" i="46" s="1"/>
  <c r="AB113" i="46" s="1"/>
  <c r="AC113" i="46" s="1"/>
  <c r="Y57" i="46"/>
  <c r="Z57" i="46" s="1"/>
  <c r="AB57" i="46" s="1"/>
  <c r="AC57" i="46" s="1"/>
  <c r="Y18" i="46"/>
  <c r="Z18" i="46" s="1"/>
  <c r="AB18" i="46" s="1"/>
  <c r="AG18" i="46" s="1"/>
  <c r="Y80" i="46"/>
  <c r="Z80" i="46" s="1"/>
  <c r="AB80" i="46" s="1"/>
  <c r="AG80" i="46" s="1"/>
  <c r="Y24" i="46"/>
  <c r="Z24" i="46" s="1"/>
  <c r="AB24" i="46" s="1"/>
  <c r="AG24" i="46" s="1"/>
  <c r="Y53" i="46"/>
  <c r="Z53" i="46" s="1"/>
  <c r="AB53" i="46" s="1"/>
  <c r="AC53" i="46" s="1"/>
  <c r="Y22" i="46"/>
  <c r="Z22" i="46" s="1"/>
  <c r="AB22" i="46" s="1"/>
  <c r="AG22" i="46" s="1"/>
  <c r="Y106" i="46"/>
  <c r="Z106" i="46" s="1"/>
  <c r="AB106" i="46" s="1"/>
  <c r="Y116" i="46"/>
  <c r="Z116" i="46" s="1"/>
  <c r="AB116" i="46" s="1"/>
  <c r="AG116" i="46" s="1"/>
  <c r="Y56" i="46"/>
  <c r="Z56" i="46" s="1"/>
  <c r="AB56" i="46" s="1"/>
  <c r="AG56" i="46" s="1"/>
  <c r="Y72" i="46"/>
  <c r="Z72" i="46" s="1"/>
  <c r="AB72" i="46" s="1"/>
  <c r="AG72" i="46" s="1"/>
  <c r="Y30" i="46"/>
  <c r="Z30" i="46" s="1"/>
  <c r="AB30" i="46" s="1"/>
  <c r="AC30" i="46" s="1"/>
  <c r="Y112" i="46"/>
  <c r="Z112" i="46" s="1"/>
  <c r="AB112" i="46" s="1"/>
  <c r="Y49" i="46"/>
  <c r="Z49" i="46" s="1"/>
  <c r="AB49" i="46" s="1"/>
  <c r="AC49" i="46" s="1"/>
  <c r="Y111" i="46"/>
  <c r="Z111" i="46" s="1"/>
  <c r="AB111" i="46" s="1"/>
  <c r="Y67" i="46"/>
  <c r="Z67" i="46" s="1"/>
  <c r="AB67" i="46" s="1"/>
  <c r="AG67" i="46" s="1"/>
  <c r="Y63" i="46"/>
  <c r="Z63" i="46" s="1"/>
  <c r="AB63" i="46" s="1"/>
  <c r="AG63" i="46" s="1"/>
  <c r="Y69" i="46"/>
  <c r="Z69" i="46" s="1"/>
  <c r="AB69" i="46" s="1"/>
  <c r="AC69" i="46" s="1"/>
  <c r="Y121" i="46"/>
  <c r="Z121" i="46" s="1"/>
  <c r="AB121" i="46" s="1"/>
  <c r="AC121" i="46" s="1"/>
  <c r="Y122" i="46"/>
  <c r="Z122" i="46" s="1"/>
  <c r="AB122" i="46" s="1"/>
  <c r="AG122" i="46" s="1"/>
  <c r="Y81" i="46"/>
  <c r="Z81" i="46" s="1"/>
  <c r="AB81" i="46" s="1"/>
  <c r="AC81" i="46" s="1"/>
  <c r="Y78" i="46"/>
  <c r="Z78" i="46" s="1"/>
  <c r="AB78" i="46" s="1"/>
  <c r="AG78" i="46" s="1"/>
  <c r="Y65" i="46"/>
  <c r="Z65" i="46" s="1"/>
  <c r="AB65" i="46" s="1"/>
  <c r="AG65" i="46" s="1"/>
  <c r="Y71" i="46"/>
  <c r="Z71" i="46" s="1"/>
  <c r="AB71" i="46" s="1"/>
  <c r="AG71" i="46" s="1"/>
  <c r="Y59" i="46"/>
  <c r="Z59" i="46" s="1"/>
  <c r="AB59" i="46" s="1"/>
  <c r="AG59" i="46" s="1"/>
  <c r="AG16" i="46"/>
  <c r="AC16" i="46"/>
  <c r="AG120" i="46"/>
  <c r="AC120" i="46"/>
  <c r="AG92" i="46"/>
  <c r="AC92" i="46"/>
  <c r="AG88" i="46"/>
  <c r="AC88" i="46"/>
  <c r="AC91" i="46"/>
  <c r="AG91" i="46"/>
  <c r="AC41" i="46"/>
  <c r="AC75" i="46"/>
  <c r="AG75" i="46"/>
  <c r="AC21" i="46"/>
  <c r="AG21" i="46"/>
  <c r="AG115" i="46"/>
  <c r="AC115" i="46"/>
  <c r="AC90" i="46"/>
  <c r="AG90" i="46"/>
  <c r="AC123" i="46"/>
  <c r="AG123" i="46"/>
  <c r="AC27" i="46"/>
  <c r="AG27" i="46"/>
  <c r="AC37" i="46"/>
  <c r="AG37" i="46"/>
  <c r="AG60" i="46"/>
  <c r="AG117" i="46"/>
  <c r="AC117" i="46"/>
  <c r="AG42" i="46"/>
  <c r="AC42" i="46"/>
  <c r="AC38" i="46"/>
  <c r="AG38" i="46"/>
  <c r="AG36" i="46"/>
  <c r="AC36" i="46"/>
  <c r="AC18" i="46"/>
  <c r="AC46" i="46"/>
  <c r="AG46" i="46"/>
  <c r="AC48" i="46"/>
  <c r="AC80" i="46"/>
  <c r="AG52" i="46"/>
  <c r="AC52" i="46"/>
  <c r="AC28" i="46"/>
  <c r="AG28" i="46"/>
  <c r="AC86" i="46"/>
  <c r="AG86" i="46"/>
  <c r="AC13" i="46"/>
  <c r="AG13" i="46"/>
  <c r="AC47" i="46"/>
  <c r="AG47" i="46"/>
  <c r="AG19" i="46"/>
  <c r="AC19" i="46"/>
  <c r="AC76" i="46"/>
  <c r="AG76" i="46"/>
  <c r="AG20" i="46"/>
  <c r="AC20" i="46"/>
  <c r="AC26" i="46"/>
  <c r="AG26" i="46"/>
  <c r="P12" i="46"/>
  <c r="O124" i="46"/>
  <c r="AC17" i="46"/>
  <c r="AG17" i="46"/>
  <c r="AG50" i="46"/>
  <c r="AC50" i="46"/>
  <c r="AG23" i="46" l="1"/>
  <c r="AG54" i="46"/>
  <c r="AC22" i="46"/>
  <c r="AC74" i="46"/>
  <c r="AG33" i="46"/>
  <c r="AG53" i="46"/>
  <c r="AG14" i="46"/>
  <c r="AC68" i="46"/>
  <c r="AC35" i="46"/>
  <c r="AC119" i="46"/>
  <c r="AC63" i="46"/>
  <c r="AG61" i="46"/>
  <c r="AC70" i="46"/>
  <c r="AG57" i="46"/>
  <c r="AG89" i="46"/>
  <c r="AG32" i="46"/>
  <c r="AG15" i="46"/>
  <c r="AG43" i="46"/>
  <c r="AC87" i="46"/>
  <c r="AG114" i="46"/>
  <c r="AG39" i="46"/>
  <c r="AG121" i="46"/>
  <c r="AC51" i="46"/>
  <c r="AC62" i="46"/>
  <c r="AC66" i="46"/>
  <c r="AC71" i="46"/>
  <c r="AG44" i="46"/>
  <c r="AC118" i="46"/>
  <c r="AC116" i="46"/>
  <c r="AG85" i="46"/>
  <c r="AG79" i="46"/>
  <c r="AG81" i="46"/>
  <c r="AG73" i="46"/>
  <c r="AG83" i="46"/>
  <c r="AC122" i="46"/>
  <c r="AG49" i="46"/>
  <c r="AC34" i="46"/>
  <c r="AG31" i="46"/>
  <c r="AC65" i="46"/>
  <c r="AC77" i="46"/>
  <c r="AG84" i="46"/>
  <c r="AG30" i="46"/>
  <c r="AC24" i="46"/>
  <c r="AC45" i="46"/>
  <c r="AG58" i="46"/>
  <c r="AG25" i="46"/>
  <c r="AC56" i="46"/>
  <c r="AC64" i="46"/>
  <c r="AC55" i="46"/>
  <c r="AC59" i="46"/>
  <c r="AG82" i="46"/>
  <c r="AC78" i="46"/>
  <c r="AG69" i="46"/>
  <c r="AC40" i="46"/>
  <c r="AG29" i="46"/>
  <c r="AC67" i="46"/>
  <c r="AC72" i="46"/>
  <c r="S12" i="46"/>
  <c r="S124" i="46" s="1"/>
  <c r="S128" i="46" s="1"/>
  <c r="R12" i="46"/>
  <c r="P124" i="46"/>
  <c r="M127" i="46" s="1"/>
  <c r="R124" i="46" l="1"/>
  <c r="R128" i="46" s="1"/>
  <c r="Y12" i="46"/>
  <c r="Y124" i="46" l="1"/>
  <c r="Z12" i="46"/>
  <c r="Z124" i="46" l="1"/>
  <c r="AB12" i="46"/>
  <c r="AB124" i="46" l="1"/>
  <c r="AC12" i="46"/>
  <c r="AC124" i="46" s="1"/>
  <c r="AG12" i="46"/>
  <c r="AG124" i="46" s="1"/>
</calcChain>
</file>

<file path=xl/sharedStrings.xml><?xml version="1.0" encoding="utf-8"?>
<sst xmlns="http://schemas.openxmlformats.org/spreadsheetml/2006/main" count="888" uniqueCount="473">
  <si>
    <t>AKASH RAWAT</t>
  </si>
  <si>
    <t>NAMDEV BANDGAR</t>
  </si>
  <si>
    <t>VERESH FULARE</t>
  </si>
  <si>
    <t>GOVIND LODHI</t>
  </si>
  <si>
    <t>SAIB SYAEEL</t>
  </si>
  <si>
    <t>DAUD SHAIKH</t>
  </si>
  <si>
    <t>PAVAN RATHOD</t>
  </si>
  <si>
    <t>SAGAR KAMBLE</t>
  </si>
  <si>
    <t>SHIVAKUMAR META</t>
  </si>
  <si>
    <t>DRAGAPPA ARWAT</t>
  </si>
  <si>
    <t>SAMART DHAVANDE</t>
  </si>
  <si>
    <t>AMOGSIDDHA   MHAMANE</t>
  </si>
  <si>
    <t>BASAVRAJ SODDE</t>
  </si>
  <si>
    <t>SAGAR B ARJUN</t>
  </si>
  <si>
    <t>SHIVALINGPPA MALI</t>
  </si>
  <si>
    <t>ABHIJIT P WAGHMARE</t>
  </si>
  <si>
    <t>BHART SARADE</t>
  </si>
  <si>
    <t>GOURISHANKAR  SAGARE</t>
  </si>
  <si>
    <t>KISHOR MORE</t>
  </si>
  <si>
    <t>MUSHTAK SHAIKH</t>
  </si>
  <si>
    <t>DAVALSAB NADHAF</t>
  </si>
  <si>
    <t>SACHIN GHANTE</t>
  </si>
  <si>
    <t>BHIMASHANKAR ISHWARKATTI</t>
  </si>
  <si>
    <t>BILYANSIDDH SALOTOGI</t>
  </si>
  <si>
    <t>D WAGHMARE</t>
  </si>
  <si>
    <t>SANTOSH L KOLI</t>
  </si>
  <si>
    <t>SAGAR PATIL</t>
  </si>
  <si>
    <t>VIJAY V MANE</t>
  </si>
  <si>
    <t>SHARNAPPA KHEDAGILAR</t>
  </si>
  <si>
    <t>ANIL HAGARE</t>
  </si>
  <si>
    <t>AVINASH   PATANGE</t>
  </si>
  <si>
    <t>RAVINDAR  REURE</t>
  </si>
  <si>
    <t>SADIK SHAIKH</t>
  </si>
  <si>
    <t>VIJAY BHARALE</t>
  </si>
  <si>
    <t>AKASH LAXMAN KALE</t>
  </si>
  <si>
    <t>AMOL TEJU RATHOD</t>
  </si>
  <si>
    <t>ANIL GOVIND MALI</t>
  </si>
  <si>
    <t>KASHINATH ABHIMANU PATIL</t>
  </si>
  <si>
    <t>SATISH SHIVAJI SHINDE</t>
  </si>
  <si>
    <t>SHARANAPPA KHEDAGIKAR</t>
  </si>
  <si>
    <t>VIJAY BHARLE</t>
  </si>
  <si>
    <t>VIJAY VISHNU MANE</t>
  </si>
  <si>
    <t>PT</t>
  </si>
  <si>
    <t>ESIC</t>
  </si>
  <si>
    <t>AKIB SADIK SHAIKH</t>
  </si>
  <si>
    <t>ARBAJ AMIN JAMADAR</t>
  </si>
  <si>
    <t>BASAVRAJ KARKEL</t>
  </si>
  <si>
    <t>GANGADHAR MAYNAL</t>
  </si>
  <si>
    <t>HEMAND NANADURE</t>
  </si>
  <si>
    <t>NARENDRA PATEL</t>
  </si>
  <si>
    <t>PRASHANT TANAJI RATHOD</t>
  </si>
  <si>
    <t>RAJENDRA RAJAK</t>
  </si>
  <si>
    <t>SACHIN KHWSHAWAHA</t>
  </si>
  <si>
    <t>SHIVANAND KANTAPPA KOSHTI</t>
  </si>
  <si>
    <t>SOHIL JAMADAR</t>
  </si>
  <si>
    <t>SOURABHA KACHHI</t>
  </si>
  <si>
    <t>SUNIL BASAVARAJ KOTHANE</t>
  </si>
  <si>
    <t>UBAID YADAR</t>
  </si>
  <si>
    <t xml:space="preserve"> </t>
  </si>
  <si>
    <t>Sr No</t>
  </si>
  <si>
    <t>UAN NO</t>
  </si>
  <si>
    <t xml:space="preserve">ESICNO </t>
  </si>
  <si>
    <t>FULL NAME OF EMPLOYEE</t>
  </si>
  <si>
    <t>Rate Per Day</t>
  </si>
  <si>
    <t>Total Days worked</t>
  </si>
  <si>
    <t>Total OT Days</t>
  </si>
  <si>
    <t xml:space="preserve">Days Total </t>
  </si>
  <si>
    <t>BASIC PAY</t>
  </si>
  <si>
    <t>OT PAY</t>
  </si>
  <si>
    <t>GROSS WAGES PAYABLE</t>
  </si>
  <si>
    <t>BASIC+DA</t>
  </si>
  <si>
    <t>HRA</t>
  </si>
  <si>
    <t>OTHER</t>
  </si>
  <si>
    <t xml:space="preserve">LEGAL GROSS WAGES PAYABLE </t>
  </si>
  <si>
    <t>Deduction Parts</t>
  </si>
  <si>
    <t>Net Wages</t>
  </si>
  <si>
    <t xml:space="preserve">Other </t>
  </si>
  <si>
    <t>FINAL PAY</t>
  </si>
  <si>
    <t>PF</t>
  </si>
  <si>
    <t>Remening Adv(Dif)</t>
  </si>
  <si>
    <t>Advance jamadar</t>
  </si>
  <si>
    <t>CANTEEN</t>
  </si>
  <si>
    <t>account adv</t>
  </si>
  <si>
    <t>Total deduction</t>
  </si>
  <si>
    <t>Pay To Bank</t>
  </si>
  <si>
    <t>AJAY BHAGAT</t>
  </si>
  <si>
    <t>AQIB MAHAMAD SHAIKH</t>
  </si>
  <si>
    <t>DHARMANNA SIDDHARAM ARJUN</t>
  </si>
  <si>
    <t>MR. BSAVRAJ IRANNA TALWAR</t>
  </si>
  <si>
    <t>MOIN GULAB MULLA</t>
  </si>
  <si>
    <t>PUSHPENDRA CHANDRA</t>
  </si>
  <si>
    <t>RUSHIKESH CHANDRAKANT CHOUGULE</t>
  </si>
  <si>
    <t>VISHAL MOHAN MANE</t>
  </si>
  <si>
    <t>RAHUL BHIMANNA FULARI</t>
  </si>
  <si>
    <t>pf</t>
  </si>
  <si>
    <t>esic</t>
  </si>
  <si>
    <t>DHANANJAY KIRAN AMBURE</t>
  </si>
  <si>
    <t>ANKUSH SANJAY BHALE</t>
  </si>
  <si>
    <t>DINESH VASANT SALGAR</t>
  </si>
  <si>
    <t>DIPAK DATTATRAY KUMBHAR</t>
  </si>
  <si>
    <t>MAHADEV SIDRAM VHANMANE</t>
  </si>
  <si>
    <t>SHAVAREPPA KASHINATH YALADE</t>
  </si>
  <si>
    <t>ARBAZ ILAI NADAF</t>
  </si>
  <si>
    <t>SHAVRSIDDHA KHANDAPPA LANDAGE</t>
  </si>
  <si>
    <t>PUNDLIK CHANDU JADHAV</t>
  </si>
  <si>
    <t>KASHINATH JAGANATH BIRJADAR</t>
  </si>
  <si>
    <t>GANGADHAR SIDDHARAM MAYANALE</t>
  </si>
  <si>
    <t>BHIMASHANKAR SHARNAPPA ISHWARKATTI</t>
  </si>
  <si>
    <t>PREM NAGNATH PAWAR</t>
  </si>
  <si>
    <t>AMAR PRAKASH WADGAON</t>
  </si>
  <si>
    <t>SHAHANAVAJ MURTUJ PATHAN</t>
  </si>
  <si>
    <t>PRABHAKAR NAYKUDE</t>
  </si>
  <si>
    <t>GOURISHANKAR SHRISHAIL SAGARE</t>
  </si>
  <si>
    <t>SAGAR MALAKARI KOLI</t>
  </si>
  <si>
    <t>ABHIJIT PIRAPPA WAGHMARE</t>
  </si>
  <si>
    <t>SANTOSH LAXMAN KOLI</t>
  </si>
  <si>
    <t>AVINASH NILKANTH PATANGE</t>
  </si>
  <si>
    <t>KARAN UMESH CHAVAN</t>
  </si>
  <si>
    <t>DAVALSAB MATTU NADAF</t>
  </si>
  <si>
    <t>BASAVRAJ IRANNA TALWAR</t>
  </si>
  <si>
    <t>ROHAN BABURAV PANDIT</t>
  </si>
  <si>
    <t>AMOGSIDDHA VITTHAL MHAMANE</t>
  </si>
  <si>
    <t>HEMANT ANAVIRAPPA NANDURE</t>
  </si>
  <si>
    <t>SHREERAM BALASAHEB SARVAGOD</t>
  </si>
  <si>
    <t>SAKIB SALIM SAYYED</t>
  </si>
  <si>
    <t>REVENSIDDHA SHIVAPPA ISHWARKATTI</t>
  </si>
  <si>
    <t>GIRISH SIDDHARAM MADYAL</t>
  </si>
  <si>
    <t>JITENDRA SIDRAM KOLI</t>
  </si>
  <si>
    <t>CHINTAMANI SHAMRAO KADERKAR</t>
  </si>
  <si>
    <t>SHIVKUMAR MITTA</t>
  </si>
  <si>
    <t>SAGAR RAMESH GHARSANGI</t>
  </si>
  <si>
    <t>DATTATRAY ASHOK WAGHMODE</t>
  </si>
  <si>
    <t>KHALID ILAHI SHAIKH</t>
  </si>
  <si>
    <t>MALLINATH SHIVARAM VHANKADE</t>
  </si>
  <si>
    <t>KISHOR JYOTIBA MORE</t>
  </si>
  <si>
    <t>DNYANESHWAR BHAGAVANT WAGHMARE</t>
  </si>
  <si>
    <t>SAGAR BASAVRAJ ARJUN</t>
  </si>
  <si>
    <t>SACHIN BHAGWAN GHANTE</t>
  </si>
  <si>
    <t>DAUD PAIGAMBAR SHAIKH</t>
  </si>
  <si>
    <t>SOHEL SAHEBLAL JAMADAR</t>
  </si>
  <si>
    <t>MUSHTAK RASHID SHAIKH</t>
  </si>
  <si>
    <t>BHARAT SANTOSH SARADE</t>
  </si>
  <si>
    <t>BASAVRAJ SHRISHAIL SODDE</t>
  </si>
  <si>
    <t>BASAVRAJ SHIVANNA KOLI(B.S.KOLI)</t>
  </si>
  <si>
    <t>BILYANASIDDH MAHADEV SALOTAGI(B SALOTAGI)</t>
  </si>
  <si>
    <t>DARGAPPA SHIVANAND ARWAT</t>
  </si>
  <si>
    <t>ROHIT SURYAKANT MHETRE</t>
  </si>
  <si>
    <t>RAHUL SURESHA MASALI</t>
  </si>
  <si>
    <t>Emp Name</t>
  </si>
  <si>
    <t xml:space="preserve">ABHISHEK SUNIL RATHOD </t>
  </si>
  <si>
    <t xml:space="preserve">ARIF CHOUDHARI </t>
  </si>
  <si>
    <t>SHAIKH LATIF FARID</t>
  </si>
  <si>
    <t>HARUN GULAB MULLA</t>
  </si>
  <si>
    <t>SUDHAKAR BHIMASHANKAR KOGANURE</t>
  </si>
  <si>
    <t>SANDEEP KHATAL</t>
  </si>
  <si>
    <t>AKIB SHAIKH</t>
  </si>
  <si>
    <t>BASAVRAJ SHIVANNA KOLI</t>
  </si>
  <si>
    <t>DOMBE SIDRAM</t>
  </si>
  <si>
    <t>SHAIKH RAJEBHAI AHMAD</t>
  </si>
  <si>
    <t>RATHOD ARYAN RAMCHANDRA</t>
  </si>
  <si>
    <t>KALE ASHOK SIDRAM</t>
  </si>
  <si>
    <t>BIRAJADAR RUDRAPPA</t>
  </si>
  <si>
    <t>RAUT NAVANATH DIGAMBAR</t>
  </si>
  <si>
    <t>VISHAL SURESH MANE</t>
  </si>
  <si>
    <t>KHAWAJASAHAB GULAB HIMONE</t>
  </si>
  <si>
    <t>MAHESH BABUSHA LANDAGE</t>
  </si>
  <si>
    <t>BADIGER RAJKUMAR</t>
  </si>
  <si>
    <t>BAGALE NILESH</t>
  </si>
  <si>
    <t>cupan</t>
  </si>
  <si>
    <t>TONN</t>
  </si>
  <si>
    <t>REG</t>
  </si>
  <si>
    <t>BASVRAJ SOMNATH KARKALE</t>
  </si>
  <si>
    <t>Mr. RAJAKUMAR BADIGER</t>
  </si>
  <si>
    <t>Mr. BANDENAWAJ SAIPAN MULLA</t>
  </si>
  <si>
    <t>Mr. SUFIYAN SHEKULAL FULARI</t>
  </si>
  <si>
    <t>Mr. KHAJASAHEB GULAB HIMONE</t>
  </si>
  <si>
    <t>Mr. MAHESH BABUSHA LANDAGE</t>
  </si>
  <si>
    <t>Mr. VISHAL SURESH MANE</t>
  </si>
  <si>
    <t>Mr. SANDIP CHANDRAKANT KHATAL</t>
  </si>
  <si>
    <t>Mr. SUDHAKAR BHIMASHANKAR KOGANURE</t>
  </si>
  <si>
    <t>Mr. SIDDHRAM MAHANINGAPPA DOMBE</t>
  </si>
  <si>
    <t>Mr. ABHISHEK SUNIL RATHOD</t>
  </si>
  <si>
    <t>Mr. NAGANATH KASHINATH SONWANE</t>
  </si>
  <si>
    <t>Mr. SHAHANVAJ MURTUJ PATHAN</t>
  </si>
  <si>
    <t>Mr. ARBAZ NADAF</t>
  </si>
  <si>
    <t>Mr. BASAVRAJ SHIVANNA KOLI</t>
  </si>
  <si>
    <t>Mr. ANIKET SHRIPATI DANGE</t>
  </si>
  <si>
    <t>Mr. MOIN GULAB MULLA</t>
  </si>
  <si>
    <t>Mr. DINESH VASANT SALGAR</t>
  </si>
  <si>
    <t>Mr. DIPAK DATTATRAY KUMBHAR</t>
  </si>
  <si>
    <t>Mr. AKIB SHAIKH</t>
  </si>
  <si>
    <t>Mr. SAGAR CHANDRASHEKHAR PATIL</t>
  </si>
  <si>
    <t>Mr. BSAVRAJ IRANNA TALWAR</t>
  </si>
  <si>
    <t>Mr. SHIVANAND KANTAPPA KOSHTI</t>
  </si>
  <si>
    <t>Mr. ARBAJ AMIN JAMADAR</t>
  </si>
  <si>
    <t>Mr. VISHAL MOHAN MANE</t>
  </si>
  <si>
    <t>Mr. SHARANAPPA KHEDAGIKAR</t>
  </si>
  <si>
    <t>Mr. DNYANESHWAR BHAGAVANT WAGHAMARE</t>
  </si>
  <si>
    <t>Mr. BHIMAHSNKAR SHARNAPPA ISHWARKATTI</t>
  </si>
  <si>
    <t>Mr. VIJAY BHARLE</t>
  </si>
  <si>
    <t>Mr. BHARAT SANTOSH SARADE</t>
  </si>
  <si>
    <t>Mr. SACHIN BHAGWAN GHANTE</t>
  </si>
  <si>
    <t>Mr. NANDURE HEMANT ANAVIRAPPA</t>
  </si>
  <si>
    <t>Mr. BASAVARAJ SHRISHAIL SODDE</t>
  </si>
  <si>
    <t>Mr. KISHOR JYOTIBA MORE</t>
  </si>
  <si>
    <t>Mr. SAMARTH IRANNA DHAVANE</t>
  </si>
  <si>
    <t>Mr. SOHEL SAHEBLAL JAMADAR</t>
  </si>
  <si>
    <t>Mr. DAVALSAB MATTU NADAF</t>
  </si>
  <si>
    <t>Mr. SHAVRSIDDHA KHANDAPPA LANDAGE</t>
  </si>
  <si>
    <t>Mr. MUSHTAK RASHID SHAIKH</t>
  </si>
  <si>
    <t>Mr. AVINASH NILKANTH PATANGE</t>
  </si>
  <si>
    <t>Mr. RUSHIKESH CHANDRAKANT CHOUGULE</t>
  </si>
  <si>
    <t>Mr. ANKUASH SANJAY BHALE</t>
  </si>
  <si>
    <t>Mr. ABHIJIT PIRAPPA WAGHMARE</t>
  </si>
  <si>
    <t>Mr. GIRISH SIDDHARAM MADYAL</t>
  </si>
  <si>
    <t>Mr. JITENDRA SIDRAM KOLI</t>
  </si>
  <si>
    <t>Mr. SAGAR BASAVRAJ ARJUN</t>
  </si>
  <si>
    <t>Mr. SAGAR MALAKARI KOLI</t>
  </si>
  <si>
    <t>Mr. KASHINATH JAGANATH BIRJADAR</t>
  </si>
  <si>
    <t>Mr. AKASH JAGNNATH TENGALE</t>
  </si>
  <si>
    <t>Mr. SAGAR RAMESH GHARSANGI</t>
  </si>
  <si>
    <t>Mr. MALLINATH SHIVARAM VHANAKADE</t>
  </si>
  <si>
    <t>Mr. SANTOSH LAXMAN KOLI</t>
  </si>
  <si>
    <t>Mr. VIJAY MANE</t>
  </si>
  <si>
    <t>Mr. KHALID ILAI SHAIKH</t>
  </si>
  <si>
    <t>Mr. PUNDALIK CHANDU JADHAV</t>
  </si>
  <si>
    <t>Mr. KASHINATH ABHIMANU PATIL</t>
  </si>
  <si>
    <t>Mr. AMOL TEJU RATHOD</t>
  </si>
  <si>
    <t>Mr. REVANASIDDH SHIVAPPA ISHWARKATTI</t>
  </si>
  <si>
    <t>Mr. ANIL G MALI</t>
  </si>
  <si>
    <t>Mr. SATISH SHIVAJI SHINDE</t>
  </si>
  <si>
    <t>Mr. WAGHMODE DATTATRAY ASHOK</t>
  </si>
  <si>
    <t>Mr. NAMDEV DURGAPPA BANDGAR</t>
  </si>
  <si>
    <t>HIRKUR YUVRAJ MALAKARI</t>
  </si>
  <si>
    <t>GENSIDHHA AMASIDHHA VAMANE</t>
  </si>
  <si>
    <t>FOU105</t>
  </si>
  <si>
    <t>FOU107</t>
  </si>
  <si>
    <t>FOU113</t>
  </si>
  <si>
    <t>FOU19</t>
  </si>
  <si>
    <t>FOU20</t>
  </si>
  <si>
    <t>FOU208</t>
  </si>
  <si>
    <t>FOU209</t>
  </si>
  <si>
    <t>FOU21</t>
  </si>
  <si>
    <t>FOU218</t>
  </si>
  <si>
    <t>FOU22</t>
  </si>
  <si>
    <t>FOU222</t>
  </si>
  <si>
    <t>FOU224</t>
  </si>
  <si>
    <t>FOU225</t>
  </si>
  <si>
    <t>FOU23</t>
  </si>
  <si>
    <t>FOU27</t>
  </si>
  <si>
    <t>FOU277</t>
  </si>
  <si>
    <t>FOU28</t>
  </si>
  <si>
    <t>FOU29</t>
  </si>
  <si>
    <t>FOU294</t>
  </si>
  <si>
    <t>FOU31</t>
  </si>
  <si>
    <t>FOU314</t>
  </si>
  <si>
    <t>FOU32</t>
  </si>
  <si>
    <t>FOU328</t>
  </si>
  <si>
    <t>FOU367</t>
  </si>
  <si>
    <t>FOU379</t>
  </si>
  <si>
    <t>FOU38</t>
  </si>
  <si>
    <t>FOU39</t>
  </si>
  <si>
    <t>FOU40</t>
  </si>
  <si>
    <t>FOU42</t>
  </si>
  <si>
    <t>FOU43</t>
  </si>
  <si>
    <t>FOU461</t>
  </si>
  <si>
    <t>FOU47</t>
  </si>
  <si>
    <t>FOU49</t>
  </si>
  <si>
    <t>FOU51</t>
  </si>
  <si>
    <t>FOU52</t>
  </si>
  <si>
    <t>FOU54</t>
  </si>
  <si>
    <t>FOU56</t>
  </si>
  <si>
    <t>FOU58</t>
  </si>
  <si>
    <t>FOU60</t>
  </si>
  <si>
    <t>FOU61</t>
  </si>
  <si>
    <t>FOU64</t>
  </si>
  <si>
    <t>FOU67</t>
  </si>
  <si>
    <t>FOU68</t>
  </si>
  <si>
    <t>FOU70</t>
  </si>
  <si>
    <t>FOU72</t>
  </si>
  <si>
    <t>FOU73</t>
  </si>
  <si>
    <t>FOU74</t>
  </si>
  <si>
    <t>FOU80</t>
  </si>
  <si>
    <t>FOU81</t>
  </si>
  <si>
    <t>FOU82</t>
  </si>
  <si>
    <t>FOU84</t>
  </si>
  <si>
    <t>FOU86</t>
  </si>
  <si>
    <t>FOU90</t>
  </si>
  <si>
    <t>FOU91</t>
  </si>
  <si>
    <t>FOU94</t>
  </si>
  <si>
    <t>FOU97</t>
  </si>
  <si>
    <t>KUMBHAR PRAKASH SHEMNIG</t>
  </si>
  <si>
    <t>FOU459</t>
  </si>
  <si>
    <t>FOU375</t>
  </si>
  <si>
    <t>FOU514</t>
  </si>
  <si>
    <t>MANGESH NAVNATH ANKUSHRAO</t>
  </si>
  <si>
    <t>BANDENAVAJ MULLA</t>
  </si>
  <si>
    <t xml:space="preserve">BASAVARAJ TALWAR </t>
  </si>
  <si>
    <t xml:space="preserve">SAGAR  PATIL </t>
  </si>
  <si>
    <t>DARGAPPA  SHIVANAND ARAVAT</t>
  </si>
  <si>
    <t xml:space="preserve">SANTOSH LAXMAN KOLI </t>
  </si>
  <si>
    <t xml:space="preserve">VIJAY VISHNU MANE </t>
  </si>
  <si>
    <t>SAMARTH IRRANA DHAVANE</t>
  </si>
  <si>
    <t>AVINASH PATANGE</t>
  </si>
  <si>
    <t>ANIL  GOVIND MALI</t>
  </si>
  <si>
    <t>REVANSHDDHA SHIVAPPA ISHWARKATTI</t>
  </si>
  <si>
    <t>DIPAK DATTRAY KUMBHAR</t>
  </si>
  <si>
    <t>GIRISH SIDDHRAM MADYAL</t>
  </si>
  <si>
    <t>KASHINATH JAGANATH BIRAJDAR</t>
  </si>
  <si>
    <t>BHIMASHANKAR SHARANAPPA ISHWARKATTI</t>
  </si>
  <si>
    <t>NADAF ARBAJ ILAHI</t>
  </si>
  <si>
    <t>NAMDEV  BANDGAR</t>
  </si>
  <si>
    <t>KHALID ILAHI SHIAKH</t>
  </si>
  <si>
    <t>AKASH  JAGNNATH TENAGLE</t>
  </si>
  <si>
    <t>KASHINATH  ABHIMANU PATIL</t>
  </si>
  <si>
    <t xml:space="preserve">SATISH SHIVAJI SHINDE </t>
  </si>
  <si>
    <t>SAGAR MALIKARI KOLI</t>
  </si>
  <si>
    <t xml:space="preserve">PRABHAKAR NAIKWADE </t>
  </si>
  <si>
    <t>MALLINATH SHIVRAM VHANKADE</t>
  </si>
  <si>
    <t>DAVALSAB NADAF MATTU</t>
  </si>
  <si>
    <t xml:space="preserve">DINESH VASANT SALGAR </t>
  </si>
  <si>
    <t>LANDAGE SHAVARSIDHA KHANDAPPA</t>
  </si>
  <si>
    <t>DNYANESHWAR  BHAGVANT WAGHMARE</t>
  </si>
  <si>
    <t>ABHIJEET PIRAPPA  WAGHMARE</t>
  </si>
  <si>
    <t>PATHAN SHAHNAVAJ MURTUJ</t>
  </si>
  <si>
    <t xml:space="preserve">SUFIYAN FULARI </t>
  </si>
  <si>
    <t>SAGAR BASVRAJ ARJUN</t>
  </si>
  <si>
    <t>GHANTE SACHIN BHAGWAN</t>
  </si>
  <si>
    <t>CHOUGULE HRUSHIKESH CHANDRAKANT</t>
  </si>
  <si>
    <t>MUSTAK RASHID SHAIKH</t>
  </si>
  <si>
    <t>SOHEL  SAHEBLAL JAMADAR</t>
  </si>
  <si>
    <t>ARBAJ  AMIN JAMADAR</t>
  </si>
  <si>
    <t>SHARNAPPA KHEDAGIKAR</t>
  </si>
  <si>
    <t>BASVRAJ SHRISHAIL SODDE</t>
  </si>
  <si>
    <t>SONAWANE NAGNATH KASHINATH</t>
  </si>
  <si>
    <t>KHATAL SANDIP CHANDRAKANT</t>
  </si>
  <si>
    <t>HARUN MULLA</t>
  </si>
  <si>
    <t>ANIKET DANGE</t>
  </si>
  <si>
    <t>Mr. MANGESH NAVNATH ANKUSHRAO</t>
  </si>
  <si>
    <t>Mr. YUVRAJ MALAKARI HIRKURE</t>
  </si>
  <si>
    <t>Mr. GHENSIDDHA AMASIDHDA VANAMANE</t>
  </si>
  <si>
    <t>Mr. PRABHAKAR BIRAPPA NAYKUDE</t>
  </si>
  <si>
    <t>FOU555</t>
  </si>
  <si>
    <t>Mr. HUSEN NADAF</t>
  </si>
  <si>
    <t>Mr. PRASHANT RAJU KOLI</t>
  </si>
  <si>
    <t>Mr. KUNDAN SANJAY GAIKWAD</t>
  </si>
  <si>
    <t>Mr. PRAKASH</t>
  </si>
  <si>
    <t>Mr. BASAVRAJ SOMNATH KARKALE</t>
  </si>
  <si>
    <t>Mr. ANIL KUMAR RAWAT</t>
  </si>
  <si>
    <t>FOU87</t>
  </si>
  <si>
    <t>FOU535</t>
  </si>
  <si>
    <t>SAISAMARTH VITTHAL ZAMPALE</t>
  </si>
  <si>
    <t>IRANNA IDDHARAM KANNI</t>
  </si>
  <si>
    <t>Mr. GANGADHAR TUKARAM WAGHULE</t>
  </si>
  <si>
    <t>Mr. SAISAMARTH VITTHAL ZAMPALE</t>
  </si>
  <si>
    <t>Mr. IRANNA SIDDHARAM KANNI</t>
  </si>
  <si>
    <t>Mr. DARGAPPA SHIVANAND ARWAT</t>
  </si>
  <si>
    <t>FOU625</t>
  </si>
  <si>
    <t>FOU628</t>
  </si>
  <si>
    <t>HUSEN BABULAL NADAF</t>
  </si>
  <si>
    <t>FOU632</t>
  </si>
  <si>
    <t>WAGHULE  GANAGADHAR</t>
  </si>
  <si>
    <t>Mr. ROHAN BABURAV PANDIT</t>
  </si>
  <si>
    <t>Mr. MANIK GURULINGAYA HIREMATH</t>
  </si>
  <si>
    <t>Panching No.</t>
  </si>
  <si>
    <t>UNA No.</t>
  </si>
  <si>
    <t>Total</t>
  </si>
  <si>
    <t>ROHAN BABURAO PANDIT</t>
  </si>
  <si>
    <t xml:space="preserve">FINAL </t>
  </si>
  <si>
    <t>FOU674</t>
  </si>
  <si>
    <t>FOU677</t>
  </si>
  <si>
    <t>DHANRAJ DATTATRAY SHINDE</t>
  </si>
  <si>
    <t>Mr. KASHINATH SIDHARAM TOLANURE</t>
  </si>
  <si>
    <t>Mr. DHANRAJ DATTATRAY SHINDE</t>
  </si>
  <si>
    <t>Mr. GURURAJ MAHANTESH PAGA</t>
  </si>
  <si>
    <t>Mr. SAI MAHESH KATKAR</t>
  </si>
  <si>
    <t>Mr. HARUN BASHA MULLA</t>
  </si>
  <si>
    <t>Rate</t>
  </si>
  <si>
    <t>AVG</t>
  </si>
  <si>
    <t>HIREMATH MANIK GURULINGAYA</t>
  </si>
  <si>
    <t>FOU703</t>
  </si>
  <si>
    <t>FOU685</t>
  </si>
  <si>
    <t>TOLNURE KASHINATH SIDHRAM</t>
  </si>
  <si>
    <t>PAGA GURURAJ MAHANTESH</t>
  </si>
  <si>
    <t>KATAKAR SAI MAHESH</t>
  </si>
  <si>
    <t>Mr. VISHAL RAJKUMAR KOLI</t>
  </si>
  <si>
    <t>RAJSHEKHAR ANDODGI</t>
  </si>
  <si>
    <t>ANIL RAWAT</t>
  </si>
  <si>
    <t>AJAY KANAKI</t>
  </si>
  <si>
    <t>PRASHANT RAJU KOLI</t>
  </si>
  <si>
    <t>KUNDAN SANJAY GAIKWAD</t>
  </si>
  <si>
    <t>RAKESH ASHOK RAUT</t>
  </si>
  <si>
    <t>Mr. RAKESH ASHOK RAUT</t>
  </si>
  <si>
    <t>Mr. RAJSHEKHAR ANDODGI</t>
  </si>
  <si>
    <t xml:space="preserve"> VISHAL RAJKUMAR KOLI</t>
  </si>
  <si>
    <t>SAGAR GHERSANGI</t>
  </si>
  <si>
    <t>FOU114</t>
  </si>
  <si>
    <t>AJAY SHRINIVAS PENTA</t>
  </si>
  <si>
    <t>SAMARTH MANJUNATH SIRSAT</t>
  </si>
  <si>
    <t>RAHUL BALU CHAVHAN</t>
  </si>
  <si>
    <t>RAHUL BALU CHAVAN</t>
  </si>
  <si>
    <t>ARJUN HIRACHAND BANDAGAR</t>
  </si>
  <si>
    <t>SANJAY GOPINATH BANDGAR</t>
  </si>
  <si>
    <t>FINAL TEAM 1</t>
  </si>
  <si>
    <t>TOTAL AMOUNT</t>
  </si>
  <si>
    <t>TOTAL MT</t>
  </si>
  <si>
    <t>No.of Manpawar</t>
  </si>
  <si>
    <t>Paid Amount</t>
  </si>
  <si>
    <t>FINAL TEAM 2</t>
  </si>
  <si>
    <t>Ambare D.K</t>
  </si>
  <si>
    <t>HAND EMARY 1 (GroupA)</t>
  </si>
  <si>
    <t>SAGAR GHARSANGE</t>
  </si>
  <si>
    <t>AJAY PENTA</t>
  </si>
  <si>
    <t>HAND EMARY 2</t>
  </si>
  <si>
    <t>TOTAL AMO</t>
  </si>
  <si>
    <t xml:space="preserve">ANKUSH BHALE </t>
  </si>
  <si>
    <t>Rohan Pandit</t>
  </si>
  <si>
    <t>ABHIJIT WAGHMARE</t>
  </si>
  <si>
    <t>TURBE PARSHURAM MARUTI</t>
  </si>
  <si>
    <t>DHANNAJAY  AMBURE</t>
  </si>
  <si>
    <t>JADHAV PUNDLIK C</t>
  </si>
  <si>
    <t>NAGESG REVANSIDHHA BIRAJDAR</t>
  </si>
  <si>
    <t>SHANKAR GIRMAL MALI</t>
  </si>
  <si>
    <t>YUPENDRA KUMAR SINGH</t>
  </si>
  <si>
    <t>Mr. KASHINATH ABHIMANYU PATIL</t>
  </si>
  <si>
    <t>YUPENDRA KUMAR SANT</t>
  </si>
  <si>
    <t>NAGESH REVANSIDHHA BIRAJDAR</t>
  </si>
  <si>
    <t>SAQIB SAYYAD</t>
  </si>
  <si>
    <t>WAGHMARE  SUNIL GANPAT</t>
  </si>
  <si>
    <t>Mr.SHVSNAND LANDAGE</t>
  </si>
  <si>
    <t>Fulari</t>
  </si>
  <si>
    <t>Pundalik Jadhav</t>
  </si>
  <si>
    <t>DINESH SALARGAR</t>
  </si>
  <si>
    <t>YUVARAJ HIRKURE</t>
  </si>
  <si>
    <t>Final amount</t>
  </si>
  <si>
    <t>Final MT</t>
  </si>
  <si>
    <t>HE amount</t>
  </si>
  <si>
    <t>HE MT</t>
  </si>
  <si>
    <t xml:space="preserve">FD SUP </t>
  </si>
  <si>
    <t>PAINTER</t>
  </si>
  <si>
    <t>KFIL SOLAPUR Wages Register for the Month of APR-26</t>
  </si>
  <si>
    <t>HE</t>
  </si>
  <si>
    <t>SHOT BLAST</t>
  </si>
  <si>
    <t>REWORK</t>
  </si>
  <si>
    <t>GENERAL</t>
  </si>
  <si>
    <t>GANESH AVADHUT SHIVAGONDE</t>
  </si>
  <si>
    <t xml:space="preserve">AKASH KALE </t>
  </si>
  <si>
    <t xml:space="preserve">SAHIL SHAIKH </t>
  </si>
  <si>
    <t>SIDDHARTH RAJGURU</t>
  </si>
  <si>
    <t>MALIK INAMDAR</t>
  </si>
  <si>
    <t>SURAJ BHOSALE</t>
  </si>
  <si>
    <t>PRAVIN SANJAY BIRAJDAR</t>
  </si>
  <si>
    <t>SACHIN SHANTARAM MASHALKAR</t>
  </si>
  <si>
    <t>PRAVIN NILAPPA HIRAPURE</t>
  </si>
  <si>
    <t>DATTATRAY LAMBATURE</t>
  </si>
  <si>
    <t>RIZWAN KHATIB</t>
  </si>
  <si>
    <t xml:space="preserve">YANMAR </t>
  </si>
  <si>
    <t>ANUJ HATTARKI</t>
  </si>
  <si>
    <t>YASH PAWAR</t>
  </si>
  <si>
    <t>BASAVRAJ KORE</t>
  </si>
  <si>
    <t>Day May-26</t>
  </si>
  <si>
    <t>RAHUL CHAWHAN</t>
  </si>
  <si>
    <t>SIDHARAM DOMBE</t>
  </si>
  <si>
    <t>ANIL RAVAT</t>
  </si>
  <si>
    <t>DINESH SALAGAR</t>
  </si>
  <si>
    <t>SAMADHAN MANE</t>
  </si>
  <si>
    <t>RAJESH ANDONDI</t>
  </si>
  <si>
    <t>PRBHAKAR NAYKUDE</t>
  </si>
  <si>
    <t xml:space="preserve">SAHIL  SHAIKH </t>
  </si>
  <si>
    <t>MANGESH ANKUSHRAO</t>
  </si>
  <si>
    <t>DATTA LAMTURE</t>
  </si>
  <si>
    <t>Sagar koli</t>
  </si>
  <si>
    <t>Insentiv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</si>
</sst>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_(&quot;Rs.&quot;* #,##0.00_);_(&quot;Rs.&quot;* \(#,##0.00\);_(&quot;Rs.&quot;* &quot;-&quot;??_);_(@_)"/>
    <numFmt numFmtId="167" formatCode="_(* #,##0_);_(* \(#,##0\);_(* &quot;-&quot;??_);_(@_)"/>
    <numFmt numFmtId="168" formatCode="[$-F800]dddd\,\ mmmm\ dd\,\ yyyy"/>
    <numFmt numFmtId="169" formatCode="[$₹-4009]#,##0.00;[Red]&quot;-&quot;[$₹-4009]#,##0.00"/>
    <numFmt numFmtId="170" formatCode="_ * #,##0_ ;_ * \-#,##0_ ;_ * &quot;-&quot;??_ ;_ @_ "/>
  </numFmts>
  <fonts count="73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Times New Roman"/>
      <family val="1"/>
    </font>
    <font>
      <b/>
      <sz val="10"/>
      <color theme="1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b/>
      <sz val="10"/>
      <color rgb="FF000000"/>
      <name val="Liberation Sans"/>
      <charset val="134"/>
    </font>
    <font>
      <sz val="10"/>
      <color rgb="FFFFFFFF"/>
      <name val="Liberation Sans"/>
      <charset val="134"/>
    </font>
    <font>
      <sz val="11"/>
      <color indexed="20"/>
      <name val="Calibri"/>
      <family val="2"/>
    </font>
    <font>
      <sz val="10"/>
      <color rgb="FFCC0000"/>
      <name val="Liberation Sans"/>
      <charset val="134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color rgb="FFFFFFFF"/>
      <name val="Liberation Sans"/>
      <charset val="134"/>
    </font>
    <font>
      <sz val="10"/>
      <name val="Times New Roman"/>
      <family val="1"/>
    </font>
    <font>
      <i/>
      <sz val="11"/>
      <color indexed="23"/>
      <name val="Calibri"/>
      <family val="2"/>
    </font>
    <font>
      <i/>
      <sz val="10"/>
      <color rgb="FF808080"/>
      <name val="Liberation Sans"/>
      <charset val="134"/>
    </font>
    <font>
      <sz val="11"/>
      <color indexed="17"/>
      <name val="Calibri"/>
      <family val="2"/>
    </font>
    <font>
      <sz val="10"/>
      <color rgb="FF006600"/>
      <name val="Liberation Sans"/>
      <charset val="134"/>
    </font>
    <font>
      <b/>
      <sz val="24"/>
      <color rgb="FF000000"/>
      <name val="Liberation Sans"/>
      <charset val="134"/>
    </font>
    <font>
      <b/>
      <sz val="15"/>
      <color indexed="56"/>
      <name val="Calibri"/>
      <family val="2"/>
    </font>
    <font>
      <sz val="18"/>
      <color rgb="FF000000"/>
      <name val="Liberation Sans"/>
      <charset val="134"/>
    </font>
    <font>
      <b/>
      <sz val="13"/>
      <color indexed="56"/>
      <name val="Calibri"/>
      <family val="2"/>
    </font>
    <font>
      <sz val="12"/>
      <color rgb="FF000000"/>
      <name val="Liberation Sans"/>
      <charset val="134"/>
    </font>
    <font>
      <b/>
      <sz val="11"/>
      <color indexed="56"/>
      <name val="Calibri"/>
      <family val="2"/>
    </font>
    <font>
      <b/>
      <i/>
      <sz val="16"/>
      <color theme="1"/>
      <name val="Arial"/>
      <family val="2"/>
    </font>
    <font>
      <b/>
      <i/>
      <sz val="16"/>
      <color theme="1"/>
      <name val="Liberation Sans"/>
      <charset val="134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rgb="FF996600"/>
      <name val="Liberation Sans"/>
      <charset val="134"/>
    </font>
    <font>
      <sz val="11"/>
      <color rgb="FF000000"/>
      <name val="Liberation Sans"/>
      <charset val="134"/>
    </font>
    <font>
      <sz val="11"/>
      <color theme="1"/>
      <name val="Liberation Sans"/>
      <charset val="134"/>
    </font>
    <font>
      <sz val="11"/>
      <color theme="1"/>
      <name val="Arial"/>
      <family val="2"/>
    </font>
    <font>
      <sz val="10"/>
      <color rgb="FF333333"/>
      <name val="Liberation Sans"/>
      <charset val="134"/>
    </font>
    <font>
      <b/>
      <sz val="11"/>
      <color indexed="63"/>
      <name val="Calibri"/>
      <family val="2"/>
    </font>
    <font>
      <b/>
      <i/>
      <u/>
      <sz val="11"/>
      <color theme="1"/>
      <name val="Liberation Sans"/>
      <charset val="134"/>
    </font>
    <font>
      <b/>
      <i/>
      <u/>
      <sz val="11"/>
      <color theme="1"/>
      <name val="Arial"/>
      <family val="2"/>
    </font>
    <font>
      <sz val="10"/>
      <name val="Helv"/>
      <charset val="204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</font>
    <font>
      <sz val="10"/>
      <name val="Arial"/>
      <family val="2"/>
    </font>
    <font>
      <sz val="9"/>
      <color rgb="FF000000"/>
      <name val="Times New Roman"/>
      <family val="1"/>
    </font>
    <font>
      <u/>
      <sz val="11"/>
      <color theme="10"/>
      <name val="Calibri"/>
      <family val="2"/>
    </font>
    <font>
      <b/>
      <sz val="8"/>
      <color theme="1"/>
      <name val="Quicksand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</font>
    <font>
      <sz val="11"/>
      <color rgb="FF000000"/>
      <name val="Times New Roman"/>
      <family val="1"/>
    </font>
    <font>
      <sz val="9"/>
      <color rgb="FF000000"/>
      <name val="Lexend"/>
    </font>
    <font>
      <sz val="9"/>
      <color theme="1"/>
      <name val="Lexend"/>
    </font>
    <font>
      <sz val="10"/>
      <color rgb="FFFF0000"/>
      <name val="Times New Roman"/>
      <family val="1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CCC"/>
        <bgColor rgb="FFFFCCCC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13">
    <xf numFmtId="0" fontId="0" fillId="0" borderId="0"/>
    <xf numFmtId="0" fontId="17" fillId="0" borderId="0"/>
    <xf numFmtId="0" fontId="17" fillId="0" borderId="0">
      <alignment vertical="top"/>
    </xf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6" fillId="0" borderId="0"/>
    <xf numFmtId="0" fontId="27" fillId="19" borderId="0"/>
    <xf numFmtId="0" fontId="27" fillId="19" borderId="0"/>
    <xf numFmtId="0" fontId="27" fillId="20" borderId="0"/>
    <xf numFmtId="0" fontId="27" fillId="20" borderId="0"/>
    <xf numFmtId="0" fontId="26" fillId="21" borderId="0"/>
    <xf numFmtId="0" fontId="26" fillId="21" borderId="0"/>
    <xf numFmtId="0" fontId="26" fillId="0" borderId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25" borderId="0" applyNumberFormat="0" applyBorder="0" applyAlignment="0" applyProtection="0"/>
    <xf numFmtId="0" fontId="28" fillId="6" borderId="0" applyNumberFormat="0" applyBorder="0" applyAlignment="0" applyProtection="0"/>
    <xf numFmtId="0" fontId="29" fillId="26" borderId="0"/>
    <xf numFmtId="0" fontId="29" fillId="26" borderId="0"/>
    <xf numFmtId="0" fontId="30" fillId="27" borderId="3" applyNumberFormat="0" applyAlignment="0" applyProtection="0"/>
    <xf numFmtId="0" fontId="30" fillId="27" borderId="3" applyNumberFormat="0" applyAlignment="0" applyProtection="0"/>
    <xf numFmtId="0" fontId="31" fillId="28" borderId="4" applyNumberFormat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32" fillId="29" borderId="0"/>
    <xf numFmtId="0" fontId="32" fillId="29" borderId="0"/>
    <xf numFmtId="0" fontId="17" fillId="0" borderId="0"/>
    <xf numFmtId="0" fontId="33" fillId="0" borderId="0">
      <alignment vertical="center"/>
    </xf>
    <xf numFmtId="0" fontId="17" fillId="0" borderId="0"/>
    <xf numFmtId="0" fontId="34" fillId="0" borderId="0" applyNumberFormat="0" applyFill="0" applyBorder="0" applyAlignment="0" applyProtection="0"/>
    <xf numFmtId="0" fontId="35" fillId="0" borderId="0"/>
    <xf numFmtId="0" fontId="35" fillId="0" borderId="0"/>
    <xf numFmtId="0" fontId="36" fillId="7" borderId="0" applyNumberFormat="0" applyBorder="0" applyAlignment="0" applyProtection="0"/>
    <xf numFmtId="0" fontId="37" fillId="30" borderId="0"/>
    <xf numFmtId="0" fontId="37" fillId="30" borderId="0"/>
    <xf numFmtId="0" fontId="38" fillId="0" borderId="0"/>
    <xf numFmtId="0" fontId="39" fillId="0" borderId="5" applyNumberFormat="0" applyFill="0" applyAlignment="0" applyProtection="0"/>
    <xf numFmtId="0" fontId="40" fillId="0" borderId="0"/>
    <xf numFmtId="0" fontId="40" fillId="0" borderId="0"/>
    <xf numFmtId="0" fontId="41" fillId="0" borderId="6" applyNumberFormat="0" applyFill="0" applyAlignment="0" applyProtection="0"/>
    <xf numFmtId="0" fontId="42" fillId="0" borderId="0"/>
    <xf numFmtId="0" fontId="42" fillId="0" borderId="0"/>
    <xf numFmtId="0" fontId="43" fillId="0" borderId="7" applyNumberFormat="0" applyFill="0" applyAlignment="0" applyProtection="0"/>
    <xf numFmtId="0" fontId="43" fillId="0" borderId="0" applyNumberFormat="0" applyFill="0" applyBorder="0" applyAlignment="0" applyProtection="0"/>
    <xf numFmtId="0" fontId="44" fillId="0" borderId="0">
      <alignment horizontal="center"/>
    </xf>
    <xf numFmtId="0" fontId="38" fillId="0" borderId="0"/>
    <xf numFmtId="0" fontId="44" fillId="0" borderId="0">
      <alignment horizontal="center"/>
    </xf>
    <xf numFmtId="0" fontId="45" fillId="0" borderId="0">
      <alignment horizontal="center"/>
    </xf>
    <xf numFmtId="0" fontId="38" fillId="0" borderId="0">
      <alignment textRotation="90"/>
    </xf>
    <xf numFmtId="0" fontId="44" fillId="0" borderId="0">
      <alignment horizontal="center" textRotation="90"/>
    </xf>
    <xf numFmtId="0" fontId="38" fillId="0" borderId="0">
      <alignment textRotation="90"/>
    </xf>
    <xf numFmtId="0" fontId="46" fillId="10" borderId="3" applyNumberFormat="0" applyAlignment="0" applyProtection="0"/>
    <xf numFmtId="0" fontId="46" fillId="10" borderId="3" applyNumberFormat="0" applyAlignment="0" applyProtection="0"/>
    <xf numFmtId="0" fontId="47" fillId="0" borderId="8" applyNumberFormat="0" applyFill="0" applyAlignment="0" applyProtection="0"/>
    <xf numFmtId="0" fontId="48" fillId="31" borderId="0" applyNumberFormat="0" applyBorder="0" applyAlignment="0" applyProtection="0"/>
    <xf numFmtId="0" fontId="49" fillId="32" borderId="0"/>
    <xf numFmtId="0" fontId="49" fillId="32" borderId="0"/>
    <xf numFmtId="0" fontId="16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17" fillId="0" borderId="0"/>
    <xf numFmtId="0" fontId="50" fillId="0" borderId="0"/>
    <xf numFmtId="0" fontId="24" fillId="0" borderId="0">
      <alignment vertical="top"/>
    </xf>
    <xf numFmtId="0" fontId="50" fillId="0" borderId="0"/>
    <xf numFmtId="0" fontId="17" fillId="0" borderId="0"/>
    <xf numFmtId="0" fontId="14" fillId="0" borderId="0"/>
    <xf numFmtId="167" fontId="17" fillId="0" borderId="0"/>
    <xf numFmtId="0" fontId="15" fillId="0" borderId="0"/>
    <xf numFmtId="0" fontId="14" fillId="0" borderId="0"/>
    <xf numFmtId="0" fontId="51" fillId="0" borderId="0"/>
    <xf numFmtId="0" fontId="17" fillId="0" borderId="0"/>
    <xf numFmtId="0" fontId="14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1" fillId="0" borderId="0"/>
    <xf numFmtId="0" fontId="52" fillId="0" borderId="0"/>
    <xf numFmtId="0" fontId="17" fillId="0" borderId="0"/>
    <xf numFmtId="0" fontId="51" fillId="0" borderId="0"/>
    <xf numFmtId="0" fontId="14" fillId="0" borderId="0"/>
    <xf numFmtId="0" fontId="14" fillId="0" borderId="0"/>
    <xf numFmtId="0" fontId="24" fillId="0" borderId="0">
      <alignment vertical="top"/>
    </xf>
    <xf numFmtId="0" fontId="17" fillId="0" borderId="0"/>
    <xf numFmtId="168" fontId="17" fillId="0" borderId="0"/>
    <xf numFmtId="0" fontId="17" fillId="0" borderId="0"/>
    <xf numFmtId="0" fontId="5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16" fillId="0" borderId="0"/>
    <xf numFmtId="168" fontId="14" fillId="0" borderId="0"/>
    <xf numFmtId="168" fontId="14" fillId="0" borderId="0"/>
    <xf numFmtId="0" fontId="17" fillId="33" borderId="9" applyNumberFormat="0" applyFont="0" applyAlignment="0" applyProtection="0"/>
    <xf numFmtId="0" fontId="53" fillId="32" borderId="10"/>
    <xf numFmtId="0" fontId="17" fillId="33" borderId="9" applyNumberFormat="0" applyFont="0" applyAlignment="0" applyProtection="0"/>
    <xf numFmtId="0" fontId="53" fillId="32" borderId="10"/>
    <xf numFmtId="0" fontId="54" fillId="27" borderId="11" applyNumberFormat="0" applyAlignment="0" applyProtection="0"/>
    <xf numFmtId="0" fontId="54" fillId="27" borderId="11" applyNumberFormat="0" applyAlignment="0" applyProtection="0"/>
    <xf numFmtId="0" fontId="55" fillId="0" borderId="0"/>
    <xf numFmtId="0" fontId="56" fillId="0" borderId="0"/>
    <xf numFmtId="0" fontId="55" fillId="0" borderId="0"/>
    <xf numFmtId="169" fontId="55" fillId="0" borderId="0"/>
    <xf numFmtId="169" fontId="56" fillId="0" borderId="0"/>
    <xf numFmtId="169" fontId="55" fillId="0" borderId="0"/>
    <xf numFmtId="0" fontId="51" fillId="0" borderId="0"/>
    <xf numFmtId="0" fontId="51" fillId="0" borderId="0"/>
    <xf numFmtId="0" fontId="57" fillId="0" borderId="0"/>
    <xf numFmtId="0" fontId="51" fillId="0" borderId="0"/>
    <xf numFmtId="0" fontId="51" fillId="0" borderId="0"/>
    <xf numFmtId="0" fontId="58" fillId="0" borderId="0" applyNumberFormat="0" applyFill="0" applyBorder="0" applyAlignment="0" applyProtection="0"/>
    <xf numFmtId="0" fontId="59" fillId="0" borderId="12" applyNumberFormat="0" applyFill="0" applyAlignment="0" applyProtection="0"/>
    <xf numFmtId="0" fontId="59" fillId="0" borderId="12" applyNumberFormat="0" applyFill="0" applyAlignment="0" applyProtection="0"/>
    <xf numFmtId="0" fontId="29" fillId="0" borderId="0"/>
    <xf numFmtId="0" fontId="29" fillId="0" borderId="0"/>
    <xf numFmtId="0" fontId="60" fillId="0" borderId="0" applyNumberFormat="0" applyFill="0" applyBorder="0" applyAlignment="0" applyProtection="0"/>
    <xf numFmtId="0" fontId="17" fillId="33" borderId="0" applyNumberFormat="0" applyFont="0" applyBorder="0" applyAlignment="0" applyProtection="0"/>
    <xf numFmtId="0" fontId="17" fillId="33" borderId="0" applyNumberFormat="0" applyFont="0" applyBorder="0" applyAlignment="0" applyProtection="0"/>
    <xf numFmtId="0" fontId="61" fillId="0" borderId="0"/>
    <xf numFmtId="0" fontId="12" fillId="0" borderId="0"/>
    <xf numFmtId="43" fontId="12" fillId="0" borderId="0" applyFont="0" applyFill="0" applyBorder="0" applyAlignment="0" applyProtection="0"/>
    <xf numFmtId="0" fontId="63" fillId="0" borderId="0" applyNumberFormat="0" applyFill="0" applyBorder="0" applyAlignment="0" applyProtection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0" borderId="0"/>
    <xf numFmtId="0" fontId="5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23" fillId="0" borderId="0"/>
    <xf numFmtId="0" fontId="23" fillId="0" borderId="0"/>
    <xf numFmtId="0" fontId="4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3" fillId="0" borderId="0"/>
  </cellStyleXfs>
  <cellXfs count="210">
    <xf numFmtId="0" fontId="0" fillId="0" borderId="0" xfId="0" applyAlignment="1">
      <alignment horizontal="left" vertical="top"/>
    </xf>
    <xf numFmtId="0" fontId="15" fillId="0" borderId="0" xfId="105"/>
    <xf numFmtId="0" fontId="15" fillId="0" borderId="13" xfId="105" applyBorder="1"/>
    <xf numFmtId="165" fontId="15" fillId="0" borderId="13" xfId="105" applyNumberFormat="1" applyBorder="1" applyAlignment="1">
      <alignment horizontal="center"/>
    </xf>
    <xf numFmtId="1" fontId="15" fillId="0" borderId="13" xfId="105" applyNumberFormat="1" applyBorder="1" applyAlignment="1">
      <alignment horizontal="right"/>
    </xf>
    <xf numFmtId="0" fontId="15" fillId="0" borderId="2" xfId="105" applyBorder="1"/>
    <xf numFmtId="0" fontId="15" fillId="0" borderId="15" xfId="105" applyBorder="1"/>
    <xf numFmtId="1" fontId="15" fillId="0" borderId="15" xfId="105" applyNumberFormat="1" applyBorder="1" applyAlignment="1">
      <alignment horizontal="right"/>
    </xf>
    <xf numFmtId="0" fontId="15" fillId="0" borderId="15" xfId="105" applyBorder="1" applyAlignment="1">
      <alignment horizontal="right"/>
    </xf>
    <xf numFmtId="0" fontId="19" fillId="0" borderId="15" xfId="105" applyFont="1" applyBorder="1" applyAlignment="1">
      <alignment vertical="center"/>
    </xf>
    <xf numFmtId="0" fontId="19" fillId="0" borderId="15" xfId="105" applyFont="1" applyBorder="1"/>
    <xf numFmtId="0" fontId="20" fillId="0" borderId="0" xfId="188" applyFont="1" applyAlignment="1">
      <alignment vertical="center"/>
    </xf>
    <xf numFmtId="0" fontId="20" fillId="0" borderId="0" xfId="188" applyFont="1" applyAlignment="1">
      <alignment horizontal="left" vertical="center"/>
    </xf>
    <xf numFmtId="0" fontId="22" fillId="0" borderId="0" xfId="188" applyFont="1" applyAlignment="1">
      <alignment vertical="center"/>
    </xf>
    <xf numFmtId="0" fontId="20" fillId="0" borderId="0" xfId="188" applyFont="1" applyAlignment="1">
      <alignment horizontal="center" vertical="center"/>
    </xf>
    <xf numFmtId="0" fontId="20" fillId="2" borderId="0" xfId="188" applyFont="1" applyFill="1" applyAlignment="1">
      <alignment horizontal="center" vertical="center"/>
    </xf>
    <xf numFmtId="0" fontId="22" fillId="2" borderId="0" xfId="188" applyFont="1" applyFill="1" applyAlignment="1">
      <alignment vertical="center"/>
    </xf>
    <xf numFmtId="0" fontId="20" fillId="0" borderId="0" xfId="188" applyFont="1" applyAlignment="1">
      <alignment horizontal="center" vertical="center" wrapText="1"/>
    </xf>
    <xf numFmtId="165" fontId="22" fillId="0" borderId="0" xfId="188" applyNumberFormat="1" applyFont="1" applyAlignment="1">
      <alignment horizontal="center" vertical="center" wrapText="1"/>
    </xf>
    <xf numFmtId="167" fontId="20" fillId="0" borderId="0" xfId="189" applyNumberFormat="1" applyFont="1" applyFill="1" applyBorder="1" applyAlignment="1">
      <alignment vertical="center"/>
    </xf>
    <xf numFmtId="165" fontId="20" fillId="0" borderId="0" xfId="188" applyNumberFormat="1" applyFont="1" applyAlignment="1">
      <alignment horizontal="center" vertical="center" wrapText="1"/>
    </xf>
    <xf numFmtId="0" fontId="20" fillId="0" borderId="0" xfId="188" applyFont="1" applyAlignment="1">
      <alignment horizontal="center" vertical="center" textRotation="90" wrapText="1"/>
    </xf>
    <xf numFmtId="0" fontId="20" fillId="0" borderId="0" xfId="188" applyFont="1" applyAlignment="1">
      <alignment horizontal="center" vertical="center" textRotation="90"/>
    </xf>
    <xf numFmtId="0" fontId="20" fillId="2" borderId="0" xfId="188" applyFont="1" applyFill="1" applyAlignment="1">
      <alignment horizontal="center" vertical="center" textRotation="90" wrapText="1"/>
    </xf>
    <xf numFmtId="0" fontId="22" fillId="2" borderId="0" xfId="188" applyFont="1" applyFill="1" applyAlignment="1">
      <alignment horizontal="center" vertical="center" wrapText="1"/>
    </xf>
    <xf numFmtId="2" fontId="20" fillId="0" borderId="0" xfId="188" applyNumberFormat="1" applyFont="1" applyAlignment="1">
      <alignment vertical="center" wrapText="1"/>
    </xf>
    <xf numFmtId="2" fontId="20" fillId="0" borderId="0" xfId="188" applyNumberFormat="1" applyFont="1" applyAlignment="1">
      <alignment horizontal="center" vertical="center" wrapText="1"/>
    </xf>
    <xf numFmtId="0" fontId="18" fillId="0" borderId="0" xfId="188" applyFont="1" applyAlignment="1">
      <alignment vertical="center"/>
    </xf>
    <xf numFmtId="164" fontId="18" fillId="0" borderId="0" xfId="188" applyNumberFormat="1" applyFont="1" applyAlignment="1">
      <alignment vertical="center"/>
    </xf>
    <xf numFmtId="0" fontId="18" fillId="0" borderId="0" xfId="188" applyFont="1" applyAlignment="1">
      <alignment horizontal="center" vertical="center" wrapText="1"/>
    </xf>
    <xf numFmtId="167" fontId="18" fillId="0" borderId="0" xfId="188" applyNumberFormat="1" applyFont="1" applyAlignment="1">
      <alignment horizontal="center" vertical="center" wrapText="1"/>
    </xf>
    <xf numFmtId="164" fontId="18" fillId="0" borderId="0" xfId="188" applyNumberFormat="1" applyFont="1" applyAlignment="1">
      <alignment horizontal="center" vertical="center" wrapText="1"/>
    </xf>
    <xf numFmtId="0" fontId="19" fillId="0" borderId="15" xfId="188" applyFont="1" applyBorder="1" applyAlignment="1">
      <alignment horizontal="center" vertical="center" wrapText="1"/>
    </xf>
    <xf numFmtId="0" fontId="20" fillId="0" borderId="15" xfId="188" applyFont="1" applyBorder="1" applyAlignment="1">
      <alignment vertical="center" wrapText="1"/>
    </xf>
    <xf numFmtId="0" fontId="20" fillId="0" borderId="0" xfId="188" applyFont="1" applyAlignment="1">
      <alignment vertical="center" wrapText="1"/>
    </xf>
    <xf numFmtId="0" fontId="19" fillId="0" borderId="15" xfId="188" applyFont="1" applyBorder="1" applyAlignment="1">
      <alignment horizontal="center" vertical="center"/>
    </xf>
    <xf numFmtId="1" fontId="19" fillId="0" borderId="15" xfId="190" applyNumberFormat="1" applyFont="1" applyFill="1" applyBorder="1" applyAlignment="1">
      <alignment horizontal="center" vertical="center"/>
    </xf>
    <xf numFmtId="43" fontId="19" fillId="0" borderId="15" xfId="189" applyFont="1" applyFill="1" applyBorder="1" applyAlignment="1">
      <alignment horizontal="center" vertical="center"/>
    </xf>
    <xf numFmtId="167" fontId="19" fillId="0" borderId="15" xfId="189" applyNumberFormat="1" applyFont="1" applyFill="1" applyBorder="1" applyAlignment="1">
      <alignment vertical="center"/>
    </xf>
    <xf numFmtId="167" fontId="19" fillId="0" borderId="15" xfId="189" applyNumberFormat="1" applyFont="1" applyFill="1" applyBorder="1" applyAlignment="1">
      <alignment horizontal="center" vertical="center"/>
    </xf>
    <xf numFmtId="167" fontId="18" fillId="0" borderId="15" xfId="189" applyNumberFormat="1" applyFont="1" applyFill="1" applyBorder="1" applyAlignment="1">
      <alignment vertical="center"/>
    </xf>
    <xf numFmtId="167" fontId="19" fillId="0" borderId="15" xfId="188" applyNumberFormat="1" applyFont="1" applyBorder="1" applyAlignment="1">
      <alignment vertical="center"/>
    </xf>
    <xf numFmtId="0" fontId="19" fillId="0" borderId="0" xfId="188" applyFont="1" applyAlignment="1">
      <alignment vertical="center"/>
    </xf>
    <xf numFmtId="167" fontId="19" fillId="0" borderId="0" xfId="188" applyNumberFormat="1" applyFont="1" applyAlignment="1">
      <alignment vertical="center"/>
    </xf>
    <xf numFmtId="0" fontId="62" fillId="0" borderId="15" xfId="105" applyFont="1" applyBorder="1"/>
    <xf numFmtId="0" fontId="20" fillId="34" borderId="15" xfId="191" applyFont="1" applyFill="1" applyBorder="1" applyAlignment="1">
      <alignment horizontal="left" vertical="top"/>
    </xf>
    <xf numFmtId="0" fontId="19" fillId="2" borderId="0" xfId="188" applyFont="1" applyFill="1" applyAlignment="1">
      <alignment vertical="center"/>
    </xf>
    <xf numFmtId="0" fontId="20" fillId="0" borderId="15" xfId="191" applyFont="1" applyBorder="1" applyAlignment="1">
      <alignment horizontal="left" vertical="top"/>
    </xf>
    <xf numFmtId="167" fontId="19" fillId="0" borderId="14" xfId="188" applyNumberFormat="1" applyFont="1" applyBorder="1" applyAlignment="1">
      <alignment vertical="center"/>
    </xf>
    <xf numFmtId="0" fontId="19" fillId="35" borderId="0" xfId="188" applyFont="1" applyFill="1" applyAlignment="1">
      <alignment vertical="center"/>
    </xf>
    <xf numFmtId="1" fontId="19" fillId="0" borderId="14" xfId="188" applyNumberFormat="1" applyFont="1" applyBorder="1" applyAlignment="1">
      <alignment horizontal="center" vertical="center"/>
    </xf>
    <xf numFmtId="1" fontId="19" fillId="0" borderId="15" xfId="188" applyNumberFormat="1" applyFont="1" applyBorder="1" applyAlignment="1">
      <alignment horizontal="center" vertical="center"/>
    </xf>
    <xf numFmtId="1" fontId="19" fillId="0" borderId="0" xfId="188" applyNumberFormat="1" applyFont="1" applyAlignment="1">
      <alignment horizontal="center" vertical="center"/>
    </xf>
    <xf numFmtId="1" fontId="21" fillId="0" borderId="15" xfId="190" applyNumberFormat="1" applyFont="1" applyFill="1" applyBorder="1" applyAlignment="1">
      <alignment horizontal="left" vertical="center"/>
    </xf>
    <xf numFmtId="0" fontId="19" fillId="0" borderId="0" xfId="188" applyFont="1" applyAlignment="1">
      <alignment horizontal="center" vertical="center"/>
    </xf>
    <xf numFmtId="1" fontId="21" fillId="4" borderId="0" xfId="190" applyNumberFormat="1" applyFont="1" applyFill="1" applyBorder="1" applyAlignment="1">
      <alignment horizontal="left" vertical="center"/>
    </xf>
    <xf numFmtId="1" fontId="21" fillId="0" borderId="0" xfId="190" applyNumberFormat="1" applyFont="1" applyFill="1" applyBorder="1" applyAlignment="1">
      <alignment horizontal="left" vertical="center"/>
    </xf>
    <xf numFmtId="1" fontId="18" fillId="0" borderId="0" xfId="188" applyNumberFormat="1" applyFont="1" applyAlignment="1">
      <alignment horizontal="center" vertical="center"/>
    </xf>
    <xf numFmtId="1" fontId="18" fillId="2" borderId="0" xfId="188" applyNumberFormat="1" applyFont="1" applyFill="1" applyAlignment="1">
      <alignment horizontal="center" vertical="center"/>
    </xf>
    <xf numFmtId="165" fontId="18" fillId="0" borderId="0" xfId="188" applyNumberFormat="1" applyFont="1" applyAlignment="1">
      <alignment vertical="center"/>
    </xf>
    <xf numFmtId="165" fontId="19" fillId="0" borderId="0" xfId="188" applyNumberFormat="1" applyFont="1" applyAlignment="1">
      <alignment vertical="center"/>
    </xf>
    <xf numFmtId="165" fontId="19" fillId="0" borderId="0" xfId="188" applyNumberFormat="1" applyFont="1" applyAlignment="1">
      <alignment horizontal="center" vertical="center"/>
    </xf>
    <xf numFmtId="0" fontId="19" fillId="2" borderId="0" xfId="188" applyFont="1" applyFill="1" applyAlignment="1">
      <alignment horizontal="center" vertical="center"/>
    </xf>
    <xf numFmtId="0" fontId="18" fillId="2" borderId="0" xfId="188" applyFont="1" applyFill="1" applyAlignment="1">
      <alignment vertical="center"/>
    </xf>
    <xf numFmtId="0" fontId="19" fillId="0" borderId="0" xfId="188" applyFont="1" applyAlignment="1">
      <alignment horizontal="left" vertical="center"/>
    </xf>
    <xf numFmtId="1" fontId="20" fillId="0" borderId="0" xfId="188" applyNumberFormat="1" applyFont="1" applyAlignment="1">
      <alignment horizontal="center" vertical="center"/>
    </xf>
    <xf numFmtId="1" fontId="20" fillId="0" borderId="0" xfId="188" applyNumberFormat="1" applyFont="1" applyAlignment="1">
      <alignment horizontal="center" vertical="center" wrapText="1"/>
    </xf>
    <xf numFmtId="1" fontId="22" fillId="0" borderId="0" xfId="188" applyNumberFormat="1" applyFont="1" applyAlignment="1">
      <alignment horizontal="center" vertical="center"/>
    </xf>
    <xf numFmtId="1" fontId="22" fillId="0" borderId="0" xfId="188" applyNumberFormat="1" applyFont="1" applyAlignment="1">
      <alignment horizontal="center" vertical="center" wrapText="1"/>
    </xf>
    <xf numFmtId="1" fontId="20" fillId="4" borderId="0" xfId="188" applyNumberFormat="1" applyFont="1" applyFill="1" applyAlignment="1">
      <alignment horizontal="center"/>
    </xf>
    <xf numFmtId="1" fontId="19" fillId="2" borderId="15" xfId="188" applyNumberFormat="1" applyFont="1" applyFill="1" applyBorder="1" applyAlignment="1">
      <alignment horizontal="center"/>
    </xf>
    <xf numFmtId="0" fontId="15" fillId="0" borderId="16" xfId="105" applyBorder="1"/>
    <xf numFmtId="1" fontId="19" fillId="2" borderId="13" xfId="100" applyNumberFormat="1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66" fillId="2" borderId="15" xfId="0" applyFont="1" applyFill="1" applyBorder="1" applyAlignment="1">
      <alignment horizontal="center" vertical="center"/>
    </xf>
    <xf numFmtId="1" fontId="19" fillId="2" borderId="16" xfId="188" applyNumberFormat="1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6" xfId="0" applyBorder="1" applyAlignment="1">
      <alignment wrapText="1"/>
    </xf>
    <xf numFmtId="0" fontId="19" fillId="2" borderId="13" xfId="100" applyFont="1" applyFill="1" applyBorder="1" applyAlignment="1">
      <alignment horizontal="center"/>
    </xf>
    <xf numFmtId="1" fontId="0" fillId="0" borderId="0" xfId="0" applyNumberFormat="1"/>
    <xf numFmtId="0" fontId="0" fillId="0" borderId="0" xfId="0"/>
    <xf numFmtId="0" fontId="13" fillId="0" borderId="0" xfId="0" applyFont="1"/>
    <xf numFmtId="1" fontId="20" fillId="0" borderId="16" xfId="100" applyNumberFormat="1" applyFont="1" applyBorder="1"/>
    <xf numFmtId="1" fontId="20" fillId="0" borderId="17" xfId="100" applyNumberFormat="1" applyFont="1" applyBorder="1"/>
    <xf numFmtId="1" fontId="20" fillId="0" borderId="18" xfId="100" applyNumberFormat="1" applyFont="1" applyBorder="1"/>
    <xf numFmtId="0" fontId="15" fillId="36" borderId="2" xfId="105" applyFill="1" applyBorder="1"/>
    <xf numFmtId="0" fontId="15" fillId="36" borderId="16" xfId="105" applyFill="1" applyBorder="1"/>
    <xf numFmtId="1" fontId="15" fillId="36" borderId="16" xfId="105" applyNumberFormat="1" applyFill="1" applyBorder="1"/>
    <xf numFmtId="1" fontId="20" fillId="0" borderId="0" xfId="100" applyNumberFormat="1" applyFont="1"/>
    <xf numFmtId="1" fontId="0" fillId="0" borderId="16" xfId="0" applyNumberFormat="1" applyBorder="1"/>
    <xf numFmtId="0" fontId="15" fillId="2" borderId="2" xfId="105" applyFill="1" applyBorder="1" applyAlignment="1">
      <alignment horizontal="center"/>
    </xf>
    <xf numFmtId="0" fontId="0" fillId="0" borderId="19" xfId="0" applyBorder="1"/>
    <xf numFmtId="0" fontId="0" fillId="0" borderId="2" xfId="0" applyBorder="1" applyAlignment="1">
      <alignment wrapText="1"/>
    </xf>
    <xf numFmtId="1" fontId="64" fillId="0" borderId="19" xfId="0" applyNumberFormat="1" applyFont="1" applyBorder="1"/>
    <xf numFmtId="0" fontId="13" fillId="0" borderId="19" xfId="0" applyFont="1" applyBorder="1"/>
    <xf numFmtId="1" fontId="20" fillId="0" borderId="20" xfId="100" applyNumberFormat="1" applyFont="1" applyBorder="1"/>
    <xf numFmtId="1" fontId="0" fillId="0" borderId="20" xfId="0" applyNumberFormat="1" applyBorder="1"/>
    <xf numFmtId="0" fontId="64" fillId="0" borderId="0" xfId="0" applyFont="1"/>
    <xf numFmtId="1" fontId="64" fillId="0" borderId="0" xfId="0" applyNumberFormat="1" applyFont="1"/>
    <xf numFmtId="0" fontId="0" fillId="0" borderId="20" xfId="0" applyBorder="1"/>
    <xf numFmtId="0" fontId="15" fillId="0" borderId="20" xfId="105" applyBorder="1"/>
    <xf numFmtId="0" fontId="0" fillId="0" borderId="21" xfId="0" applyBorder="1"/>
    <xf numFmtId="0" fontId="15" fillId="0" borderId="20" xfId="105" applyBorder="1" applyAlignment="1">
      <alignment horizontal="center"/>
    </xf>
    <xf numFmtId="0" fontId="15" fillId="2" borderId="20" xfId="105" applyFill="1" applyBorder="1" applyAlignment="1">
      <alignment horizontal="center"/>
    </xf>
    <xf numFmtId="0" fontId="21" fillId="0" borderId="20" xfId="0" applyFont="1" applyBorder="1"/>
    <xf numFmtId="0" fontId="0" fillId="0" borderId="20" xfId="0" applyBorder="1" applyAlignment="1">
      <alignment wrapText="1"/>
    </xf>
    <xf numFmtId="0" fontId="18" fillId="0" borderId="0" xfId="188" applyFont="1" applyAlignment="1">
      <alignment vertical="center" wrapText="1"/>
    </xf>
    <xf numFmtId="0" fontId="15" fillId="2" borderId="2" xfId="105" applyFill="1" applyBorder="1"/>
    <xf numFmtId="0" fontId="15" fillId="2" borderId="19" xfId="105" applyFill="1" applyBorder="1"/>
    <xf numFmtId="1" fontId="19" fillId="4" borderId="0" xfId="188" applyNumberFormat="1" applyFont="1" applyFill="1"/>
    <xf numFmtId="1" fontId="0" fillId="0" borderId="21" xfId="0" applyNumberFormat="1" applyBorder="1"/>
    <xf numFmtId="0" fontId="0" fillId="0" borderId="22" xfId="0" applyBorder="1" applyAlignment="1">
      <alignment wrapText="1"/>
    </xf>
    <xf numFmtId="1" fontId="69" fillId="0" borderId="0" xfId="0" applyNumberFormat="1" applyFont="1"/>
    <xf numFmtId="0" fontId="13" fillId="0" borderId="20" xfId="0" applyFont="1" applyBorder="1"/>
    <xf numFmtId="0" fontId="70" fillId="0" borderId="20" xfId="0" applyFont="1" applyBorder="1" applyAlignment="1">
      <alignment horizontal="center" vertical="center" wrapText="1"/>
    </xf>
    <xf numFmtId="1" fontId="70" fillId="0" borderId="20" xfId="0" applyNumberFormat="1" applyFont="1" applyBorder="1" applyAlignment="1">
      <alignment horizontal="center" vertical="center" wrapText="1"/>
    </xf>
    <xf numFmtId="1" fontId="70" fillId="2" borderId="20" xfId="0" applyNumberFormat="1" applyFont="1" applyFill="1" applyBorder="1" applyAlignment="1">
      <alignment horizontal="center" vertical="center" wrapText="1"/>
    </xf>
    <xf numFmtId="1" fontId="70" fillId="0" borderId="20" xfId="0" applyNumberFormat="1" applyFont="1" applyBorder="1" applyAlignment="1">
      <alignment horizontal="left" vertical="center" wrapText="1"/>
    </xf>
    <xf numFmtId="0" fontId="13" fillId="37" borderId="20" xfId="0" applyFont="1" applyFill="1" applyBorder="1"/>
    <xf numFmtId="0" fontId="64" fillId="37" borderId="20" xfId="0" applyFont="1" applyFill="1" applyBorder="1" applyAlignment="1">
      <alignment horizontal="left" wrapText="1"/>
    </xf>
    <xf numFmtId="1" fontId="67" fillId="37" borderId="20" xfId="105" applyNumberFormat="1" applyFont="1" applyFill="1" applyBorder="1" applyAlignment="1">
      <alignment horizontal="center"/>
    </xf>
    <xf numFmtId="1" fontId="70" fillId="37" borderId="20" xfId="0" applyNumberFormat="1" applyFont="1" applyFill="1" applyBorder="1" applyAlignment="1">
      <alignment horizontal="left" vertical="top" wrapText="1"/>
    </xf>
    <xf numFmtId="0" fontId="0" fillId="39" borderId="20" xfId="0" applyFill="1" applyBorder="1"/>
    <xf numFmtId="0" fontId="0" fillId="39" borderId="21" xfId="0" applyFill="1" applyBorder="1"/>
    <xf numFmtId="1" fontId="0" fillId="39" borderId="20" xfId="0" applyNumberFormat="1" applyFill="1" applyBorder="1"/>
    <xf numFmtId="1" fontId="64" fillId="0" borderId="20" xfId="0" applyNumberFormat="1" applyFont="1" applyBorder="1"/>
    <xf numFmtId="17" fontId="0" fillId="0" borderId="20" xfId="0" applyNumberFormat="1" applyBorder="1"/>
    <xf numFmtId="1" fontId="20" fillId="0" borderId="19" xfId="100" applyNumberFormat="1" applyFont="1" applyBorder="1"/>
    <xf numFmtId="1" fontId="0" fillId="0" borderId="19" xfId="0" applyNumberFormat="1" applyBorder="1"/>
    <xf numFmtId="0" fontId="19" fillId="40" borderId="15" xfId="188" applyFont="1" applyFill="1" applyBorder="1" applyAlignment="1">
      <alignment horizontal="center" vertical="center"/>
    </xf>
    <xf numFmtId="1" fontId="20" fillId="40" borderId="0" xfId="100" applyNumberFormat="1" applyFont="1" applyFill="1"/>
    <xf numFmtId="0" fontId="15" fillId="40" borderId="2" xfId="105" applyFill="1" applyBorder="1" applyAlignment="1">
      <alignment horizontal="center"/>
    </xf>
    <xf numFmtId="0" fontId="15" fillId="40" borderId="15" xfId="105" applyFill="1" applyBorder="1"/>
    <xf numFmtId="1" fontId="19" fillId="40" borderId="15" xfId="190" applyNumberFormat="1" applyFont="1" applyFill="1" applyBorder="1" applyAlignment="1">
      <alignment horizontal="center" vertical="center"/>
    </xf>
    <xf numFmtId="43" fontId="19" fillId="40" borderId="15" xfId="189" applyFont="1" applyFill="1" applyBorder="1" applyAlignment="1">
      <alignment horizontal="center" vertical="center"/>
    </xf>
    <xf numFmtId="167" fontId="19" fillId="40" borderId="15" xfId="189" applyNumberFormat="1" applyFont="1" applyFill="1" applyBorder="1" applyAlignment="1">
      <alignment vertical="center"/>
    </xf>
    <xf numFmtId="167" fontId="19" fillId="40" borderId="15" xfId="189" applyNumberFormat="1" applyFont="1" applyFill="1" applyBorder="1" applyAlignment="1">
      <alignment horizontal="center" vertical="center"/>
    </xf>
    <xf numFmtId="1" fontId="15" fillId="40" borderId="13" xfId="105" applyNumberFormat="1" applyFill="1" applyBorder="1" applyAlignment="1">
      <alignment horizontal="right"/>
    </xf>
    <xf numFmtId="1" fontId="15" fillId="40" borderId="15" xfId="105" applyNumberFormat="1" applyFill="1" applyBorder="1" applyAlignment="1">
      <alignment horizontal="right"/>
    </xf>
    <xf numFmtId="0" fontId="15" fillId="40" borderId="13" xfId="105" applyFill="1" applyBorder="1"/>
    <xf numFmtId="167" fontId="18" fillId="40" borderId="15" xfId="189" applyNumberFormat="1" applyFont="1" applyFill="1" applyBorder="1" applyAlignment="1">
      <alignment vertical="center"/>
    </xf>
    <xf numFmtId="0" fontId="19" fillId="40" borderId="15" xfId="105" applyFont="1" applyFill="1" applyBorder="1"/>
    <xf numFmtId="0" fontId="19" fillId="40" borderId="0" xfId="188" applyFont="1" applyFill="1" applyAlignment="1">
      <alignment vertical="center"/>
    </xf>
    <xf numFmtId="0" fontId="62" fillId="40" borderId="15" xfId="105" applyFont="1" applyFill="1" applyBorder="1" applyAlignment="1">
      <alignment horizontal="left" vertical="top"/>
    </xf>
    <xf numFmtId="0" fontId="0" fillId="40" borderId="16" xfId="0" applyFill="1" applyBorder="1" applyAlignment="1">
      <alignment wrapText="1"/>
    </xf>
    <xf numFmtId="0" fontId="13" fillId="38" borderId="20" xfId="0" applyFont="1" applyFill="1" applyBorder="1"/>
    <xf numFmtId="0" fontId="70" fillId="38" borderId="20" xfId="0" applyFont="1" applyFill="1" applyBorder="1" applyAlignment="1">
      <alignment horizontal="center" vertical="center" wrapText="1"/>
    </xf>
    <xf numFmtId="1" fontId="70" fillId="38" borderId="20" xfId="0" applyNumberFormat="1" applyFont="1" applyFill="1" applyBorder="1" applyAlignment="1">
      <alignment horizontal="center" vertical="center" wrapText="1"/>
    </xf>
    <xf numFmtId="1" fontId="70" fillId="38" borderId="20" xfId="0" applyNumberFormat="1" applyFont="1" applyFill="1" applyBorder="1" applyAlignment="1">
      <alignment horizontal="left" vertical="center" wrapText="1"/>
    </xf>
    <xf numFmtId="0" fontId="13" fillId="38" borderId="0" xfId="0" applyFont="1" applyFill="1"/>
    <xf numFmtId="0" fontId="70" fillId="38" borderId="20" xfId="0" applyFont="1" applyFill="1" applyBorder="1" applyAlignment="1">
      <alignment horizontal="left" vertical="top" wrapText="1"/>
    </xf>
    <xf numFmtId="1" fontId="70" fillId="38" borderId="20" xfId="0" applyNumberFormat="1" applyFont="1" applyFill="1" applyBorder="1" applyAlignment="1">
      <alignment horizontal="left" vertical="top" wrapText="1"/>
    </xf>
    <xf numFmtId="0" fontId="70" fillId="38" borderId="20" xfId="0" applyFont="1" applyFill="1" applyBorder="1" applyAlignment="1">
      <alignment horizontal="left" wrapText="1"/>
    </xf>
    <xf numFmtId="1" fontId="70" fillId="38" borderId="20" xfId="0" applyNumberFormat="1" applyFont="1" applyFill="1" applyBorder="1" applyAlignment="1">
      <alignment horizontal="left" wrapText="1"/>
    </xf>
    <xf numFmtId="1" fontId="71" fillId="38" borderId="20" xfId="0" applyNumberFormat="1" applyFont="1" applyFill="1" applyBorder="1" applyAlignment="1">
      <alignment horizontal="left" vertical="top" wrapText="1"/>
    </xf>
    <xf numFmtId="1" fontId="70" fillId="38" borderId="20" xfId="0" applyNumberFormat="1" applyFont="1" applyFill="1" applyBorder="1" applyAlignment="1">
      <alignment horizontal="center" vertical="top" wrapText="1"/>
    </xf>
    <xf numFmtId="0" fontId="67" fillId="0" borderId="20" xfId="105" applyFont="1" applyBorder="1"/>
    <xf numFmtId="1" fontId="67" fillId="0" borderId="20" xfId="105" applyNumberFormat="1" applyFont="1" applyBorder="1" applyAlignment="1">
      <alignment horizontal="center"/>
    </xf>
    <xf numFmtId="1" fontId="70" fillId="0" borderId="20" xfId="0" applyNumberFormat="1" applyFont="1" applyBorder="1" applyAlignment="1">
      <alignment horizontal="left" vertical="top" wrapText="1"/>
    </xf>
    <xf numFmtId="1" fontId="70" fillId="0" borderId="20" xfId="0" applyNumberFormat="1" applyFont="1" applyBorder="1" applyAlignment="1">
      <alignment horizontal="left" wrapText="1"/>
    </xf>
    <xf numFmtId="1" fontId="71" fillId="0" borderId="20" xfId="0" applyNumberFormat="1" applyFont="1" applyBorder="1" applyAlignment="1">
      <alignment horizontal="left" vertical="top" wrapText="1"/>
    </xf>
    <xf numFmtId="1" fontId="70" fillId="0" borderId="20" xfId="0" applyNumberFormat="1" applyFont="1" applyBorder="1" applyAlignment="1">
      <alignment horizontal="center" vertical="top" wrapText="1"/>
    </xf>
    <xf numFmtId="0" fontId="67" fillId="3" borderId="20" xfId="105" applyFont="1" applyFill="1" applyBorder="1"/>
    <xf numFmtId="0" fontId="13" fillId="37" borderId="0" xfId="0" applyFont="1" applyFill="1"/>
    <xf numFmtId="0" fontId="13" fillId="41" borderId="20" xfId="0" applyFont="1" applyFill="1" applyBorder="1"/>
    <xf numFmtId="0" fontId="70" fillId="41" borderId="20" xfId="0" applyFont="1" applyFill="1" applyBorder="1" applyAlignment="1">
      <alignment horizontal="left" vertical="center" wrapText="1"/>
    </xf>
    <xf numFmtId="1" fontId="67" fillId="41" borderId="20" xfId="105" applyNumberFormat="1" applyFont="1" applyFill="1" applyBorder="1" applyAlignment="1">
      <alignment horizontal="center"/>
    </xf>
    <xf numFmtId="1" fontId="64" fillId="41" borderId="20" xfId="0" applyNumberFormat="1" applyFont="1" applyFill="1" applyBorder="1" applyAlignment="1">
      <alignment horizontal="left" vertical="center" wrapText="1"/>
    </xf>
    <xf numFmtId="1" fontId="70" fillId="41" borderId="20" xfId="0" applyNumberFormat="1" applyFont="1" applyFill="1" applyBorder="1" applyAlignment="1">
      <alignment horizontal="left" vertical="top" wrapText="1"/>
    </xf>
    <xf numFmtId="0" fontId="13" fillId="41" borderId="0" xfId="0" applyFont="1" applyFill="1"/>
    <xf numFmtId="0" fontId="70" fillId="41" borderId="20" xfId="0" applyFont="1" applyFill="1" applyBorder="1" applyAlignment="1">
      <alignment horizontal="left" vertical="top" wrapText="1"/>
    </xf>
    <xf numFmtId="0" fontId="70" fillId="41" borderId="20" xfId="0" applyFont="1" applyFill="1" applyBorder="1" applyAlignment="1">
      <alignment horizontal="left" wrapText="1"/>
    </xf>
    <xf numFmtId="1" fontId="70" fillId="41" borderId="20" xfId="0" applyNumberFormat="1" applyFont="1" applyFill="1" applyBorder="1" applyAlignment="1">
      <alignment horizontal="left" wrapText="1"/>
    </xf>
    <xf numFmtId="1" fontId="68" fillId="0" borderId="20" xfId="100" applyNumberFormat="1" applyFont="1" applyBorder="1" applyAlignment="1">
      <alignment horizontal="right"/>
    </xf>
    <xf numFmtId="0" fontId="13" fillId="42" borderId="20" xfId="0" applyFont="1" applyFill="1" applyBorder="1"/>
    <xf numFmtId="0" fontId="70" fillId="42" borderId="20" xfId="0" applyFont="1" applyFill="1" applyBorder="1" applyAlignment="1">
      <alignment horizontal="left" vertical="top" wrapText="1"/>
    </xf>
    <xf numFmtId="1" fontId="67" fillId="42" borderId="20" xfId="105" applyNumberFormat="1" applyFont="1" applyFill="1" applyBorder="1" applyAlignment="1">
      <alignment horizontal="center"/>
    </xf>
    <xf numFmtId="1" fontId="64" fillId="42" borderId="20" xfId="0" applyNumberFormat="1" applyFont="1" applyFill="1" applyBorder="1" applyAlignment="1">
      <alignment horizontal="left" vertical="center" wrapText="1"/>
    </xf>
    <xf numFmtId="1" fontId="70" fillId="42" borderId="20" xfId="0" applyNumberFormat="1" applyFont="1" applyFill="1" applyBorder="1" applyAlignment="1">
      <alignment horizontal="left" vertical="top" wrapText="1"/>
    </xf>
    <xf numFmtId="0" fontId="13" fillId="42" borderId="0" xfId="0" applyFont="1" applyFill="1"/>
    <xf numFmtId="0" fontId="70" fillId="42" borderId="20" xfId="0" applyFont="1" applyFill="1" applyBorder="1" applyAlignment="1">
      <alignment horizontal="left" wrapText="1"/>
    </xf>
    <xf numFmtId="1" fontId="70" fillId="42" borderId="20" xfId="0" applyNumberFormat="1" applyFont="1" applyFill="1" applyBorder="1" applyAlignment="1">
      <alignment horizontal="left" wrapText="1"/>
    </xf>
    <xf numFmtId="0" fontId="13" fillId="43" borderId="20" xfId="0" applyFont="1" applyFill="1" applyBorder="1"/>
    <xf numFmtId="0" fontId="70" fillId="43" borderId="20" xfId="0" applyFont="1" applyFill="1" applyBorder="1" applyAlignment="1">
      <alignment horizontal="center" vertical="center" wrapText="1"/>
    </xf>
    <xf numFmtId="1" fontId="67" fillId="43" borderId="20" xfId="105" applyNumberFormat="1" applyFont="1" applyFill="1" applyBorder="1" applyAlignment="1">
      <alignment horizontal="center"/>
    </xf>
    <xf numFmtId="1" fontId="64" fillId="43" borderId="20" xfId="0" applyNumberFormat="1" applyFont="1" applyFill="1" applyBorder="1" applyAlignment="1">
      <alignment horizontal="left" vertical="center" wrapText="1"/>
    </xf>
    <xf numFmtId="1" fontId="70" fillId="43" borderId="20" xfId="0" applyNumberFormat="1" applyFont="1" applyFill="1" applyBorder="1" applyAlignment="1">
      <alignment horizontal="left" vertical="top" wrapText="1"/>
    </xf>
    <xf numFmtId="0" fontId="13" fillId="43" borderId="0" xfId="0" applyFont="1" applyFill="1"/>
    <xf numFmtId="0" fontId="70" fillId="43" borderId="20" xfId="0" applyFont="1" applyFill="1" applyBorder="1" applyAlignment="1">
      <alignment horizontal="left" vertical="top" wrapText="1"/>
    </xf>
    <xf numFmtId="0" fontId="70" fillId="43" borderId="20" xfId="0" applyFont="1" applyFill="1" applyBorder="1" applyAlignment="1">
      <alignment horizontal="left" wrapText="1"/>
    </xf>
    <xf numFmtId="1" fontId="70" fillId="43" borderId="20" xfId="0" applyNumberFormat="1" applyFont="1" applyFill="1" applyBorder="1" applyAlignment="1">
      <alignment horizontal="left" wrapText="1"/>
    </xf>
    <xf numFmtId="1" fontId="70" fillId="37" borderId="20" xfId="0" applyNumberFormat="1" applyFont="1" applyFill="1" applyBorder="1" applyAlignment="1">
      <alignment horizontal="center" vertical="top" wrapText="1"/>
    </xf>
    <xf numFmtId="0" fontId="70" fillId="0" borderId="20" xfId="0" applyFont="1" applyBorder="1" applyAlignment="1">
      <alignment horizontal="center" vertical="top" wrapText="1"/>
    </xf>
    <xf numFmtId="0" fontId="70" fillId="0" borderId="20" xfId="0" applyFont="1" applyBorder="1" applyAlignment="1">
      <alignment horizontal="left" vertical="top" wrapText="1"/>
    </xf>
    <xf numFmtId="1" fontId="13" fillId="0" borderId="0" xfId="0" applyNumberFormat="1" applyFont="1"/>
    <xf numFmtId="0" fontId="72" fillId="0" borderId="20" xfId="0" applyFont="1" applyBorder="1"/>
    <xf numFmtId="0" fontId="72" fillId="0" borderId="0" xfId="0" applyFont="1"/>
    <xf numFmtId="1" fontId="0" fillId="39" borderId="19" xfId="0" applyNumberFormat="1" applyFill="1" applyBorder="1"/>
    <xf numFmtId="0" fontId="33" fillId="0" borderId="20" xfId="0" applyFont="1" applyBorder="1"/>
    <xf numFmtId="1" fontId="21" fillId="0" borderId="20" xfId="0" applyNumberFormat="1" applyFont="1" applyBorder="1"/>
    <xf numFmtId="1" fontId="13" fillId="0" borderId="20" xfId="0" applyNumberFormat="1" applyFont="1" applyBorder="1"/>
    <xf numFmtId="170" fontId="19" fillId="0" borderId="0" xfId="188" applyNumberFormat="1" applyFont="1" applyAlignment="1">
      <alignment vertical="center"/>
    </xf>
    <xf numFmtId="0" fontId="18" fillId="0" borderId="15" xfId="188" applyFont="1" applyBorder="1" applyAlignment="1">
      <alignment horizontal="center" vertical="center" wrapText="1"/>
    </xf>
    <xf numFmtId="0" fontId="19" fillId="0" borderId="15" xfId="188" applyFont="1" applyBorder="1" applyAlignment="1">
      <alignment horizontal="center" vertical="center" textRotation="90" wrapText="1"/>
    </xf>
    <xf numFmtId="0" fontId="19" fillId="0" borderId="15" xfId="188" applyFont="1" applyBorder="1" applyAlignment="1">
      <alignment horizontal="center" vertical="center" wrapText="1"/>
    </xf>
    <xf numFmtId="165" fontId="19" fillId="0" borderId="15" xfId="188" applyNumberFormat="1" applyFont="1" applyBorder="1" applyAlignment="1">
      <alignment horizontal="center" vertical="center" wrapText="1"/>
    </xf>
    <xf numFmtId="165" fontId="19" fillId="0" borderId="15" xfId="188" applyNumberFormat="1" applyFont="1" applyBorder="1" applyAlignment="1">
      <alignment vertical="center" wrapText="1"/>
    </xf>
    <xf numFmtId="1" fontId="20" fillId="0" borderId="15" xfId="188" applyNumberFormat="1" applyFont="1" applyBorder="1" applyAlignment="1">
      <alignment horizontal="center" vertical="center" wrapText="1"/>
    </xf>
    <xf numFmtId="0" fontId="19" fillId="0" borderId="15" xfId="188" applyFont="1" applyBorder="1" applyAlignment="1">
      <alignment vertical="center" wrapText="1"/>
    </xf>
    <xf numFmtId="165" fontId="18" fillId="0" borderId="15" xfId="188" applyNumberFormat="1" applyFont="1" applyBorder="1" applyAlignment="1">
      <alignment horizontal="center" vertical="center" wrapText="1"/>
    </xf>
  </cellXfs>
  <cellStyles count="213">
    <cellStyle name="%" xfId="1" xr:uid="{00000000-0005-0000-0000-000000000000}"/>
    <cellStyle name="=C:\WINNT\SYSTEM32\COMMAND.COM" xfId="2" xr:uid="{00000000-0005-0000-0000-000001000000}"/>
    <cellStyle name="20% - Accent1 2" xfId="3" xr:uid="{00000000-0005-0000-0000-000002000000}"/>
    <cellStyle name="20% - Accent2 2" xfId="4" xr:uid="{00000000-0005-0000-0000-000003000000}"/>
    <cellStyle name="20% - Accent3 2" xfId="5" xr:uid="{00000000-0005-0000-0000-000004000000}"/>
    <cellStyle name="20% - Accent4 2" xfId="6" xr:uid="{00000000-0005-0000-0000-000005000000}"/>
    <cellStyle name="20% - Accent5 2" xfId="7" xr:uid="{00000000-0005-0000-0000-000006000000}"/>
    <cellStyle name="20% - Accent6 2" xfId="8" xr:uid="{00000000-0005-0000-0000-000007000000}"/>
    <cellStyle name="40% - Accent1 2" xfId="9" xr:uid="{00000000-0005-0000-0000-000008000000}"/>
    <cellStyle name="40% - Accent2 2" xfId="10" xr:uid="{00000000-0005-0000-0000-000009000000}"/>
    <cellStyle name="40% - Accent3 2" xfId="11" xr:uid="{00000000-0005-0000-0000-00000A000000}"/>
    <cellStyle name="40% - Accent4 2" xfId="12" xr:uid="{00000000-0005-0000-0000-00000B000000}"/>
    <cellStyle name="40% - Accent5 2" xfId="13" xr:uid="{00000000-0005-0000-0000-00000C000000}"/>
    <cellStyle name="40% - Accent6 2" xfId="14" xr:uid="{00000000-0005-0000-0000-00000D000000}"/>
    <cellStyle name="60% - Accent1 2" xfId="15" xr:uid="{00000000-0005-0000-0000-00000E000000}"/>
    <cellStyle name="60% - Accent2 2" xfId="16" xr:uid="{00000000-0005-0000-0000-00000F000000}"/>
    <cellStyle name="60% - Accent3 2" xfId="17" xr:uid="{00000000-0005-0000-0000-000010000000}"/>
    <cellStyle name="60% - Accent4 2" xfId="18" xr:uid="{00000000-0005-0000-0000-000011000000}"/>
    <cellStyle name="60% - Accent5 2" xfId="19" xr:uid="{00000000-0005-0000-0000-000012000000}"/>
    <cellStyle name="60% - Accent6 2" xfId="20" xr:uid="{00000000-0005-0000-0000-000013000000}"/>
    <cellStyle name="Accent" xfId="21" xr:uid="{00000000-0005-0000-0000-000014000000}"/>
    <cellStyle name="Accent 1" xfId="22" xr:uid="{00000000-0005-0000-0000-000015000000}"/>
    <cellStyle name="Accent 1 2" xfId="23" xr:uid="{00000000-0005-0000-0000-000016000000}"/>
    <cellStyle name="Accent 2" xfId="24" xr:uid="{00000000-0005-0000-0000-000017000000}"/>
    <cellStyle name="Accent 2 2" xfId="25" xr:uid="{00000000-0005-0000-0000-000018000000}"/>
    <cellStyle name="Accent 3" xfId="26" xr:uid="{00000000-0005-0000-0000-000019000000}"/>
    <cellStyle name="Accent 3 2" xfId="27" xr:uid="{00000000-0005-0000-0000-00001A000000}"/>
    <cellStyle name="Accent 4" xfId="28" xr:uid="{00000000-0005-0000-0000-00001B000000}"/>
    <cellStyle name="Accent1 2" xfId="29" xr:uid="{00000000-0005-0000-0000-00001C000000}"/>
    <cellStyle name="Accent2 2" xfId="30" xr:uid="{00000000-0005-0000-0000-00001D000000}"/>
    <cellStyle name="Accent3 2" xfId="31" xr:uid="{00000000-0005-0000-0000-00001E000000}"/>
    <cellStyle name="Accent4 2" xfId="32" xr:uid="{00000000-0005-0000-0000-00001F000000}"/>
    <cellStyle name="Accent5 2" xfId="33" xr:uid="{00000000-0005-0000-0000-000020000000}"/>
    <cellStyle name="Accent6 2" xfId="34" xr:uid="{00000000-0005-0000-0000-000021000000}"/>
    <cellStyle name="Bad 2" xfId="35" xr:uid="{00000000-0005-0000-0000-000022000000}"/>
    <cellStyle name="Bad 2 2" xfId="36" xr:uid="{00000000-0005-0000-0000-000023000000}"/>
    <cellStyle name="Bad 3" xfId="37" xr:uid="{00000000-0005-0000-0000-000024000000}"/>
    <cellStyle name="Calculation 2" xfId="38" xr:uid="{00000000-0005-0000-0000-000025000000}"/>
    <cellStyle name="Calculation 2 2" xfId="39" xr:uid="{00000000-0005-0000-0000-000026000000}"/>
    <cellStyle name="Check Cell 2" xfId="40" xr:uid="{00000000-0005-0000-0000-000027000000}"/>
    <cellStyle name="Comma 2" xfId="41" xr:uid="{00000000-0005-0000-0000-000029000000}"/>
    <cellStyle name="Comma 2 2" xfId="42" xr:uid="{00000000-0005-0000-0000-00002A000000}"/>
    <cellStyle name="Comma 2 2 2" xfId="43" xr:uid="{00000000-0005-0000-0000-00002B000000}"/>
    <cellStyle name="Comma 2 2 2 2" xfId="44" xr:uid="{00000000-0005-0000-0000-00002C000000}"/>
    <cellStyle name="Comma 2 2 2 2 2" xfId="45" xr:uid="{00000000-0005-0000-0000-00002D000000}"/>
    <cellStyle name="Comma 2 2 2 2 2 2" xfId="190" xr:uid="{00000000-0005-0000-0000-00002E000000}"/>
    <cellStyle name="Comma 2 2 2 3" xfId="46" xr:uid="{00000000-0005-0000-0000-00002F000000}"/>
    <cellStyle name="Comma 2 2 2 3 2" xfId="200" xr:uid="{00000000-0005-0000-0000-000030000000}"/>
    <cellStyle name="Comma 2 2 2 3 3" xfId="201" xr:uid="{00000000-0005-0000-0000-000031000000}"/>
    <cellStyle name="Comma 2 3" xfId="47" xr:uid="{00000000-0005-0000-0000-000032000000}"/>
    <cellStyle name="Comma 2 4" xfId="48" xr:uid="{00000000-0005-0000-0000-000033000000}"/>
    <cellStyle name="Comma 2 4 2" xfId="49" xr:uid="{00000000-0005-0000-0000-000034000000}"/>
    <cellStyle name="Comma 2 4 2 2" xfId="189" xr:uid="{00000000-0005-0000-0000-000035000000}"/>
    <cellStyle name="Comma 2 4 2 3" xfId="180" xr:uid="{00000000-0005-0000-0000-000036000000}"/>
    <cellStyle name="Comma 3" xfId="50" xr:uid="{00000000-0005-0000-0000-000037000000}"/>
    <cellStyle name="Comma 3 2" xfId="51" xr:uid="{00000000-0005-0000-0000-000038000000}"/>
    <cellStyle name="Comma 4" xfId="52" xr:uid="{00000000-0005-0000-0000-000039000000}"/>
    <cellStyle name="Comma 5" xfId="53" xr:uid="{00000000-0005-0000-0000-00003A000000}"/>
    <cellStyle name="Comma 6" xfId="54" xr:uid="{00000000-0005-0000-0000-00003B000000}"/>
    <cellStyle name="Comma 7" xfId="55" xr:uid="{00000000-0005-0000-0000-00003C000000}"/>
    <cellStyle name="Comma 8" xfId="56" xr:uid="{00000000-0005-0000-0000-00003D000000}"/>
    <cellStyle name="Currency 2" xfId="57" xr:uid="{00000000-0005-0000-0000-00003E000000}"/>
    <cellStyle name="Error" xfId="58" xr:uid="{00000000-0005-0000-0000-00003F000000}"/>
    <cellStyle name="Error 2" xfId="59" xr:uid="{00000000-0005-0000-0000-000040000000}"/>
    <cellStyle name="Excel Built-in Normal" xfId="60" xr:uid="{00000000-0005-0000-0000-000041000000}"/>
    <cellStyle name="Excel Built-in Normal 1" xfId="61" xr:uid="{00000000-0005-0000-0000-000042000000}"/>
    <cellStyle name="Excel Built-in Normal 2" xfId="62" xr:uid="{00000000-0005-0000-0000-000043000000}"/>
    <cellStyle name="Explanatory Text 2" xfId="63" xr:uid="{00000000-0005-0000-0000-000044000000}"/>
    <cellStyle name="Footnote" xfId="64" xr:uid="{00000000-0005-0000-0000-000045000000}"/>
    <cellStyle name="Footnote 2" xfId="65" xr:uid="{00000000-0005-0000-0000-000046000000}"/>
    <cellStyle name="Good 2" xfId="66" xr:uid="{00000000-0005-0000-0000-000047000000}"/>
    <cellStyle name="Good 2 2" xfId="67" xr:uid="{00000000-0005-0000-0000-000048000000}"/>
    <cellStyle name="Good 3" xfId="68" xr:uid="{00000000-0005-0000-0000-000049000000}"/>
    <cellStyle name="Heading" xfId="69" xr:uid="{00000000-0005-0000-0000-00004A000000}"/>
    <cellStyle name="Heading 1 2" xfId="70" xr:uid="{00000000-0005-0000-0000-00004B000000}"/>
    <cellStyle name="Heading 1 2 2" xfId="71" xr:uid="{00000000-0005-0000-0000-00004C000000}"/>
    <cellStyle name="Heading 1 3" xfId="72" xr:uid="{00000000-0005-0000-0000-00004D000000}"/>
    <cellStyle name="Heading 2 2" xfId="73" xr:uid="{00000000-0005-0000-0000-00004E000000}"/>
    <cellStyle name="Heading 2 2 2" xfId="74" xr:uid="{00000000-0005-0000-0000-00004F000000}"/>
    <cellStyle name="Heading 2 3" xfId="75" xr:uid="{00000000-0005-0000-0000-000050000000}"/>
    <cellStyle name="Heading 3 2" xfId="76" xr:uid="{00000000-0005-0000-0000-000051000000}"/>
    <cellStyle name="Heading 4 2" xfId="77" xr:uid="{00000000-0005-0000-0000-000052000000}"/>
    <cellStyle name="Heading 5" xfId="78" xr:uid="{00000000-0005-0000-0000-000053000000}"/>
    <cellStyle name="Heading 5 2" xfId="79" xr:uid="{00000000-0005-0000-0000-000054000000}"/>
    <cellStyle name="Heading 6" xfId="80" xr:uid="{00000000-0005-0000-0000-000055000000}"/>
    <cellStyle name="Heading 7" xfId="81" xr:uid="{00000000-0005-0000-0000-000056000000}"/>
    <cellStyle name="Heading1" xfId="82" xr:uid="{00000000-0005-0000-0000-000057000000}"/>
    <cellStyle name="Heading1 2" xfId="83" xr:uid="{00000000-0005-0000-0000-000058000000}"/>
    <cellStyle name="Heading1 2 2" xfId="84" xr:uid="{00000000-0005-0000-0000-000059000000}"/>
    <cellStyle name="Hyperlink 2" xfId="202" xr:uid="{00000000-0005-0000-0000-00005A000000}"/>
    <cellStyle name="Input 2" xfId="85" xr:uid="{00000000-0005-0000-0000-00005B000000}"/>
    <cellStyle name="Input 2 2" xfId="86" xr:uid="{00000000-0005-0000-0000-00005C000000}"/>
    <cellStyle name="Linked Cell 2" xfId="87" xr:uid="{00000000-0005-0000-0000-00005D000000}"/>
    <cellStyle name="Neutral 2" xfId="88" xr:uid="{00000000-0005-0000-0000-00005E000000}"/>
    <cellStyle name="Neutral 2 2" xfId="89" xr:uid="{00000000-0005-0000-0000-00005F000000}"/>
    <cellStyle name="Neutral 3" xfId="90" xr:uid="{00000000-0005-0000-0000-000060000000}"/>
    <cellStyle name="Normal" xfId="0" builtinId="0"/>
    <cellStyle name="Normal 10" xfId="91" xr:uid="{00000000-0005-0000-0000-000062000000}"/>
    <cellStyle name="Normal 10 2" xfId="92" xr:uid="{00000000-0005-0000-0000-000063000000}"/>
    <cellStyle name="Normal 10 3" xfId="93" xr:uid="{00000000-0005-0000-0000-000064000000}"/>
    <cellStyle name="Normal 10 4" xfId="197" xr:uid="{00000000-0005-0000-0000-000065000000}"/>
    <cellStyle name="Normal 11" xfId="94" xr:uid="{00000000-0005-0000-0000-000066000000}"/>
    <cellStyle name="Normal 12" xfId="95" xr:uid="{00000000-0005-0000-0000-000067000000}"/>
    <cellStyle name="Normal 13" xfId="96" xr:uid="{00000000-0005-0000-0000-000068000000}"/>
    <cellStyle name="Normal 13 2" xfId="97" xr:uid="{00000000-0005-0000-0000-000069000000}"/>
    <cellStyle name="Normal 13 3" xfId="98" xr:uid="{00000000-0005-0000-0000-00006A000000}"/>
    <cellStyle name="Normal 14" xfId="99" xr:uid="{00000000-0005-0000-0000-00006B000000}"/>
    <cellStyle name="Normal 14 2" xfId="100" xr:uid="{00000000-0005-0000-0000-00006C000000}"/>
    <cellStyle name="Normal 14 2 2" xfId="188" xr:uid="{00000000-0005-0000-0000-00006D000000}"/>
    <cellStyle name="Normal 14 2 2 6" xfId="211" xr:uid="{00000000-0005-0000-0000-00006E000000}"/>
    <cellStyle name="Normal 14 2 3" xfId="199" xr:uid="{00000000-0005-0000-0000-00006F000000}"/>
    <cellStyle name="Normal 14 2 4" xfId="203" xr:uid="{00000000-0005-0000-0000-000070000000}"/>
    <cellStyle name="Normal 15" xfId="101" xr:uid="{00000000-0005-0000-0000-000071000000}"/>
    <cellStyle name="Normal 16" xfId="178" xr:uid="{00000000-0005-0000-0000-000072000000}"/>
    <cellStyle name="Normal 16 2" xfId="194" xr:uid="{00000000-0005-0000-0000-000073000000}"/>
    <cellStyle name="Normal 17" xfId="102" xr:uid="{00000000-0005-0000-0000-000074000000}"/>
    <cellStyle name="Normal 17 2" xfId="103" xr:uid="{00000000-0005-0000-0000-000075000000}"/>
    <cellStyle name="Normal 17 2 2" xfId="192" xr:uid="{00000000-0005-0000-0000-000076000000}"/>
    <cellStyle name="Normal 17 2 3" xfId="179" xr:uid="{00000000-0005-0000-0000-000077000000}"/>
    <cellStyle name="Normal 17 3" xfId="104" xr:uid="{00000000-0005-0000-0000-000078000000}"/>
    <cellStyle name="Normal 17 3 2" xfId="195" xr:uid="{00000000-0005-0000-0000-000079000000}"/>
    <cellStyle name="Normal 17 3 2 2" xfId="208" xr:uid="{00000000-0005-0000-0000-00007A000000}"/>
    <cellStyle name="Normal 17 3 2 3" xfId="207" xr:uid="{00000000-0005-0000-0000-00007B000000}"/>
    <cellStyle name="Normal 17 3 3" xfId="204" xr:uid="{00000000-0005-0000-0000-00007C000000}"/>
    <cellStyle name="Normal 17 3 4" xfId="209" xr:uid="{00000000-0005-0000-0000-00007D000000}"/>
    <cellStyle name="Normal 17 3 5" xfId="205" xr:uid="{00000000-0005-0000-0000-00007E000000}"/>
    <cellStyle name="Normal 18" xfId="181" xr:uid="{00000000-0005-0000-0000-00007F000000}"/>
    <cellStyle name="Normal 18 2" xfId="196" xr:uid="{00000000-0005-0000-0000-000080000000}"/>
    <cellStyle name="Normal 19" xfId="182" xr:uid="{00000000-0005-0000-0000-000081000000}"/>
    <cellStyle name="Normal 2" xfId="105" xr:uid="{00000000-0005-0000-0000-000082000000}"/>
    <cellStyle name="Normal 2 10" xfId="106" xr:uid="{00000000-0005-0000-0000-000083000000}"/>
    <cellStyle name="Normal 2 10 2" xfId="107" xr:uid="{00000000-0005-0000-0000-000084000000}"/>
    <cellStyle name="Normal 2 2" xfId="108" xr:uid="{00000000-0005-0000-0000-000085000000}"/>
    <cellStyle name="Normal 2 2 2" xfId="109" xr:uid="{00000000-0005-0000-0000-000086000000}"/>
    <cellStyle name="Normal 2 2 2 2" xfId="110" xr:uid="{00000000-0005-0000-0000-000087000000}"/>
    <cellStyle name="Normal 2 2 2 2 2" xfId="111" xr:uid="{00000000-0005-0000-0000-000088000000}"/>
    <cellStyle name="Normal 2 2 2 3" xfId="112" xr:uid="{00000000-0005-0000-0000-000089000000}"/>
    <cellStyle name="Normal 2 2 3" xfId="113" xr:uid="{00000000-0005-0000-0000-00008A000000}"/>
    <cellStyle name="Normal 2 2 4" xfId="114" xr:uid="{00000000-0005-0000-0000-00008B000000}"/>
    <cellStyle name="Normal 2 2 5" xfId="115" xr:uid="{00000000-0005-0000-0000-00008C000000}"/>
    <cellStyle name="Normal 2 2 5 2" xfId="116" xr:uid="{00000000-0005-0000-0000-00008D000000}"/>
    <cellStyle name="Normal 2 2 6" xfId="117" xr:uid="{00000000-0005-0000-0000-00008E000000}"/>
    <cellStyle name="Normal 2 3" xfId="118" xr:uid="{00000000-0005-0000-0000-00008F000000}"/>
    <cellStyle name="Normal 2 3 2" xfId="119" xr:uid="{00000000-0005-0000-0000-000090000000}"/>
    <cellStyle name="Normal 2 3 3" xfId="120" xr:uid="{00000000-0005-0000-0000-000091000000}"/>
    <cellStyle name="Normal 2 4" xfId="121" xr:uid="{00000000-0005-0000-0000-000092000000}"/>
    <cellStyle name="Normal 2 5" xfId="122" xr:uid="{00000000-0005-0000-0000-000093000000}"/>
    <cellStyle name="Normal 2 6" xfId="123" xr:uid="{00000000-0005-0000-0000-000094000000}"/>
    <cellStyle name="Normal 20" xfId="183" xr:uid="{00000000-0005-0000-0000-000095000000}"/>
    <cellStyle name="Normal 21" xfId="184" xr:uid="{00000000-0005-0000-0000-000096000000}"/>
    <cellStyle name="Normal 22" xfId="185" xr:uid="{00000000-0005-0000-0000-000097000000}"/>
    <cellStyle name="Normal 23" xfId="186" xr:uid="{00000000-0005-0000-0000-000098000000}"/>
    <cellStyle name="Normal 23 2" xfId="198" xr:uid="{00000000-0005-0000-0000-000099000000}"/>
    <cellStyle name="Normal 24" xfId="187" xr:uid="{00000000-0005-0000-0000-00009A000000}"/>
    <cellStyle name="Normal 25" xfId="191" xr:uid="{00000000-0005-0000-0000-00009B000000}"/>
    <cellStyle name="Normal 26" xfId="193" xr:uid="{00000000-0005-0000-0000-00009C000000}"/>
    <cellStyle name="Normal 26 2" xfId="210" xr:uid="{00000000-0005-0000-0000-00009D000000}"/>
    <cellStyle name="Normal 26 3" xfId="206" xr:uid="{00000000-0005-0000-0000-00009E000000}"/>
    <cellStyle name="Normal 27" xfId="212" xr:uid="{00000000-0005-0000-0000-00009F000000}"/>
    <cellStyle name="Normal 3" xfId="124" xr:uid="{00000000-0005-0000-0000-0000A0000000}"/>
    <cellStyle name="Normal 3 2" xfId="125" xr:uid="{00000000-0005-0000-0000-0000A1000000}"/>
    <cellStyle name="Normal 3 2 10" xfId="126" xr:uid="{00000000-0005-0000-0000-0000A2000000}"/>
    <cellStyle name="Normal 3 2 2" xfId="127" xr:uid="{00000000-0005-0000-0000-0000A3000000}"/>
    <cellStyle name="Normal 3 2 3" xfId="128" xr:uid="{00000000-0005-0000-0000-0000A4000000}"/>
    <cellStyle name="Normal 3 2 4" xfId="129" xr:uid="{00000000-0005-0000-0000-0000A5000000}"/>
    <cellStyle name="Normal 3 2 5" xfId="130" xr:uid="{00000000-0005-0000-0000-0000A6000000}"/>
    <cellStyle name="Normal 3 2 6" xfId="131" xr:uid="{00000000-0005-0000-0000-0000A7000000}"/>
    <cellStyle name="Normal 3 2 7" xfId="132" xr:uid="{00000000-0005-0000-0000-0000A8000000}"/>
    <cellStyle name="Normal 3 2 8" xfId="133" xr:uid="{00000000-0005-0000-0000-0000A9000000}"/>
    <cellStyle name="Normal 3 2 9" xfId="134" xr:uid="{00000000-0005-0000-0000-0000AA000000}"/>
    <cellStyle name="Normal 3 3" xfId="135" xr:uid="{00000000-0005-0000-0000-0000AB000000}"/>
    <cellStyle name="Normal 3 4" xfId="136" xr:uid="{00000000-0005-0000-0000-0000AC000000}"/>
    <cellStyle name="Normal 4" xfId="137" xr:uid="{00000000-0005-0000-0000-0000AD000000}"/>
    <cellStyle name="Normal 4 2" xfId="138" xr:uid="{00000000-0005-0000-0000-0000AE000000}"/>
    <cellStyle name="Normal 4 2 2" xfId="139" xr:uid="{00000000-0005-0000-0000-0000AF000000}"/>
    <cellStyle name="Normal 4 2 2 2" xfId="140" xr:uid="{00000000-0005-0000-0000-0000B0000000}"/>
    <cellStyle name="Normal 4 3" xfId="141" xr:uid="{00000000-0005-0000-0000-0000B1000000}"/>
    <cellStyle name="Normal 5" xfId="142" xr:uid="{00000000-0005-0000-0000-0000B2000000}"/>
    <cellStyle name="Normal 5 2" xfId="143" xr:uid="{00000000-0005-0000-0000-0000B3000000}"/>
    <cellStyle name="Normal 5 3" xfId="144" xr:uid="{00000000-0005-0000-0000-0000B4000000}"/>
    <cellStyle name="Normal 6" xfId="145" xr:uid="{00000000-0005-0000-0000-0000B5000000}"/>
    <cellStyle name="Normal 7" xfId="146" xr:uid="{00000000-0005-0000-0000-0000B6000000}"/>
    <cellStyle name="Normal 7 2" xfId="147" xr:uid="{00000000-0005-0000-0000-0000B7000000}"/>
    <cellStyle name="Normal 7 2 2" xfId="148" xr:uid="{00000000-0005-0000-0000-0000B8000000}"/>
    <cellStyle name="Normal 8" xfId="149" xr:uid="{00000000-0005-0000-0000-0000B9000000}"/>
    <cellStyle name="Normal 9" xfId="150" xr:uid="{00000000-0005-0000-0000-0000BA000000}"/>
    <cellStyle name="Normal 9 2" xfId="151" xr:uid="{00000000-0005-0000-0000-0000BB000000}"/>
    <cellStyle name="Normal 9 2 2" xfId="152" xr:uid="{00000000-0005-0000-0000-0000BC000000}"/>
    <cellStyle name="Note 2" xfId="153" xr:uid="{00000000-0005-0000-0000-0000BD000000}"/>
    <cellStyle name="Note 2 2" xfId="154" xr:uid="{00000000-0005-0000-0000-0000BE000000}"/>
    <cellStyle name="Note 2 3" xfId="155" xr:uid="{00000000-0005-0000-0000-0000BF000000}"/>
    <cellStyle name="Note 3" xfId="156" xr:uid="{00000000-0005-0000-0000-0000C0000000}"/>
    <cellStyle name="Output 2" xfId="157" xr:uid="{00000000-0005-0000-0000-0000C1000000}"/>
    <cellStyle name="Output 2 2" xfId="158" xr:uid="{00000000-0005-0000-0000-0000C2000000}"/>
    <cellStyle name="Result" xfId="159" xr:uid="{00000000-0005-0000-0000-0000C3000000}"/>
    <cellStyle name="Result 2" xfId="160" xr:uid="{00000000-0005-0000-0000-0000C4000000}"/>
    <cellStyle name="Result 2 2" xfId="161" xr:uid="{00000000-0005-0000-0000-0000C5000000}"/>
    <cellStyle name="Result2" xfId="162" xr:uid="{00000000-0005-0000-0000-0000C6000000}"/>
    <cellStyle name="Result2 2" xfId="163" xr:uid="{00000000-0005-0000-0000-0000C7000000}"/>
    <cellStyle name="Result2 2 2" xfId="164" xr:uid="{00000000-0005-0000-0000-0000C8000000}"/>
    <cellStyle name="Status" xfId="165" xr:uid="{00000000-0005-0000-0000-0000C9000000}"/>
    <cellStyle name="Status 2" xfId="166" xr:uid="{00000000-0005-0000-0000-0000CA000000}"/>
    <cellStyle name="Style 1" xfId="167" xr:uid="{00000000-0005-0000-0000-0000CB000000}"/>
    <cellStyle name="Text" xfId="168" xr:uid="{00000000-0005-0000-0000-0000CC000000}"/>
    <cellStyle name="Text 2" xfId="169" xr:uid="{00000000-0005-0000-0000-0000CD000000}"/>
    <cellStyle name="Title 2" xfId="170" xr:uid="{00000000-0005-0000-0000-0000CE000000}"/>
    <cellStyle name="Total 2" xfId="171" xr:uid="{00000000-0005-0000-0000-0000CF000000}"/>
    <cellStyle name="Total 2 2" xfId="172" xr:uid="{00000000-0005-0000-0000-0000D0000000}"/>
    <cellStyle name="Warning" xfId="173" xr:uid="{00000000-0005-0000-0000-0000D1000000}"/>
    <cellStyle name="Warning 2" xfId="174" xr:uid="{00000000-0005-0000-0000-0000D2000000}"/>
    <cellStyle name="Warning Text 2" xfId="175" xr:uid="{00000000-0005-0000-0000-0000D3000000}"/>
    <cellStyle name="Yellow" xfId="176" xr:uid="{00000000-0005-0000-0000-0000D4000000}"/>
    <cellStyle name="Yellow 2" xfId="177" xr:uid="{00000000-0005-0000-0000-0000D5000000}"/>
  </cellStyles>
  <dxfs count="42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_COMPANY%20DATA/_FOUNDTECH%20ENGG/03%20KFIL%20SOLAPUR_kirloskar/_%20Monthly%20working/2026-2027/B)%20MAY-26/Wages%20Sheet/Line%20-1%20Row.xlsx" TargetMode="External"/><Relationship Id="rId1" Type="http://schemas.openxmlformats.org/officeDocument/2006/relationships/externalLinkPath" Target="/_COMPANY%20DATA/_FOUNDTECH%20ENGG/03%20KFIL%20SOLAPUR_kirloskar/_%20Monthly%20working/2026-2027/B)%20MAY-26/Wages%20Sheet/Line%20-1%20Ro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ilesh Send Tannage "/>
      <sheetName val="Nilesh Final"/>
      <sheetName val="Nilesh Final (2)"/>
      <sheetName val="Sheet1"/>
      <sheetName val="Sheet2"/>
      <sheetName val="Sheet3"/>
    </sheetNames>
    <sheetDataSet>
      <sheetData sheetId="0"/>
      <sheetData sheetId="1"/>
      <sheetData sheetId="2">
        <row r="1">
          <cell r="B1" t="str">
            <v>Day May-26</v>
          </cell>
          <cell r="C1">
            <v>0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  <cell r="P1">
            <v>13</v>
          </cell>
          <cell r="Q1">
            <v>14</v>
          </cell>
          <cell r="R1">
            <v>15</v>
          </cell>
          <cell r="S1">
            <v>16</v>
          </cell>
          <cell r="T1">
            <v>17</v>
          </cell>
          <cell r="U1">
            <v>18</v>
          </cell>
          <cell r="V1">
            <v>19</v>
          </cell>
          <cell r="W1">
            <v>20</v>
          </cell>
          <cell r="X1">
            <v>21</v>
          </cell>
          <cell r="Y1">
            <v>22</v>
          </cell>
          <cell r="Z1">
            <v>23</v>
          </cell>
          <cell r="AA1">
            <v>24</v>
          </cell>
          <cell r="AB1">
            <v>25</v>
          </cell>
          <cell r="AC1">
            <v>26</v>
          </cell>
          <cell r="AD1">
            <v>27</v>
          </cell>
          <cell r="AE1">
            <v>28</v>
          </cell>
          <cell r="AF1">
            <v>29</v>
          </cell>
          <cell r="AG1">
            <v>30</v>
          </cell>
          <cell r="AH1">
            <v>31</v>
          </cell>
          <cell r="AI1" t="str">
            <v>Total</v>
          </cell>
          <cell r="AJ1" t="str">
            <v>Day</v>
          </cell>
        </row>
        <row r="2">
          <cell r="B2" t="str">
            <v>Mr. ANIL G MALI</v>
          </cell>
          <cell r="C2">
            <v>101475240602</v>
          </cell>
          <cell r="D2">
            <v>0</v>
          </cell>
          <cell r="E2">
            <v>569</v>
          </cell>
          <cell r="F2">
            <v>1101</v>
          </cell>
          <cell r="G2">
            <v>704</v>
          </cell>
          <cell r="H2">
            <v>951</v>
          </cell>
          <cell r="I2">
            <v>0</v>
          </cell>
          <cell r="J2">
            <v>848</v>
          </cell>
          <cell r="K2">
            <v>1034</v>
          </cell>
          <cell r="L2">
            <v>0</v>
          </cell>
          <cell r="M2">
            <v>725</v>
          </cell>
          <cell r="N2">
            <v>957</v>
          </cell>
          <cell r="O2">
            <v>1029</v>
          </cell>
          <cell r="P2">
            <v>0</v>
          </cell>
          <cell r="Q2">
            <v>1144</v>
          </cell>
          <cell r="R2">
            <v>969</v>
          </cell>
          <cell r="S2">
            <v>1122</v>
          </cell>
          <cell r="T2">
            <v>1126</v>
          </cell>
          <cell r="U2">
            <v>1114</v>
          </cell>
          <cell r="V2">
            <v>929</v>
          </cell>
          <cell r="W2">
            <v>0</v>
          </cell>
          <cell r="X2">
            <v>884</v>
          </cell>
          <cell r="Y2">
            <v>550</v>
          </cell>
          <cell r="Z2">
            <v>902</v>
          </cell>
          <cell r="AA2">
            <v>1046</v>
          </cell>
          <cell r="AB2">
            <v>0</v>
          </cell>
          <cell r="AC2">
            <v>584</v>
          </cell>
          <cell r="AD2">
            <v>0</v>
          </cell>
          <cell r="AE2">
            <v>1026</v>
          </cell>
          <cell r="AF2">
            <v>1084</v>
          </cell>
          <cell r="AG2">
            <v>1135</v>
          </cell>
          <cell r="AH2">
            <v>1008</v>
          </cell>
          <cell r="AI2">
            <v>22541</v>
          </cell>
          <cell r="AJ2">
            <v>24</v>
          </cell>
        </row>
        <row r="3">
          <cell r="B3" t="str">
            <v>Mr. REVANASIDDH SHIVAPPA ISHWARKATTI</v>
          </cell>
          <cell r="C3">
            <v>101492178974</v>
          </cell>
          <cell r="D3">
            <v>0</v>
          </cell>
          <cell r="E3">
            <v>569</v>
          </cell>
          <cell r="F3">
            <v>1101</v>
          </cell>
          <cell r="G3">
            <v>704</v>
          </cell>
          <cell r="H3">
            <v>951</v>
          </cell>
          <cell r="I3">
            <v>0</v>
          </cell>
          <cell r="J3">
            <v>848</v>
          </cell>
          <cell r="K3">
            <v>1034</v>
          </cell>
          <cell r="L3">
            <v>1051</v>
          </cell>
          <cell r="M3">
            <v>725</v>
          </cell>
          <cell r="N3">
            <v>957</v>
          </cell>
          <cell r="O3">
            <v>1029</v>
          </cell>
          <cell r="P3">
            <v>0</v>
          </cell>
          <cell r="Q3">
            <v>1144</v>
          </cell>
          <cell r="R3">
            <v>969</v>
          </cell>
          <cell r="S3">
            <v>1672</v>
          </cell>
          <cell r="T3">
            <v>1126</v>
          </cell>
          <cell r="U3">
            <v>1114</v>
          </cell>
          <cell r="V3">
            <v>929</v>
          </cell>
          <cell r="W3">
            <v>550</v>
          </cell>
          <cell r="X3">
            <v>884</v>
          </cell>
          <cell r="Y3">
            <v>550</v>
          </cell>
          <cell r="Z3">
            <v>902</v>
          </cell>
          <cell r="AA3">
            <v>1046</v>
          </cell>
          <cell r="AB3">
            <v>717</v>
          </cell>
          <cell r="AC3">
            <v>584</v>
          </cell>
          <cell r="AD3">
            <v>659</v>
          </cell>
          <cell r="AE3">
            <v>1026</v>
          </cell>
          <cell r="AF3">
            <v>1084</v>
          </cell>
          <cell r="AG3">
            <v>1135</v>
          </cell>
          <cell r="AH3">
            <v>1008</v>
          </cell>
          <cell r="AI3">
            <v>26068</v>
          </cell>
          <cell r="AJ3">
            <v>28</v>
          </cell>
        </row>
        <row r="4">
          <cell r="B4" t="str">
            <v>Mr. JITENDRA SIDRAM KOLI</v>
          </cell>
          <cell r="C4">
            <v>101603294918</v>
          </cell>
          <cell r="D4">
            <v>0</v>
          </cell>
          <cell r="E4">
            <v>0</v>
          </cell>
          <cell r="F4">
            <v>0</v>
          </cell>
          <cell r="G4">
            <v>704</v>
          </cell>
          <cell r="H4">
            <v>951</v>
          </cell>
          <cell r="I4">
            <v>0</v>
          </cell>
          <cell r="J4">
            <v>848</v>
          </cell>
          <cell r="K4">
            <v>1034</v>
          </cell>
          <cell r="L4">
            <v>1051</v>
          </cell>
          <cell r="M4">
            <v>725</v>
          </cell>
          <cell r="N4">
            <v>957</v>
          </cell>
          <cell r="O4">
            <v>1029</v>
          </cell>
          <cell r="P4">
            <v>0</v>
          </cell>
          <cell r="Q4">
            <v>1144</v>
          </cell>
          <cell r="R4">
            <v>969</v>
          </cell>
          <cell r="S4">
            <v>1122</v>
          </cell>
          <cell r="T4">
            <v>1126</v>
          </cell>
          <cell r="U4">
            <v>1114</v>
          </cell>
          <cell r="V4">
            <v>929</v>
          </cell>
          <cell r="W4">
            <v>0</v>
          </cell>
          <cell r="X4">
            <v>884</v>
          </cell>
          <cell r="Y4">
            <v>0</v>
          </cell>
          <cell r="Z4">
            <v>902</v>
          </cell>
          <cell r="AA4">
            <v>1046</v>
          </cell>
          <cell r="AB4">
            <v>717</v>
          </cell>
          <cell r="AC4">
            <v>0</v>
          </cell>
          <cell r="AD4">
            <v>0</v>
          </cell>
          <cell r="AE4">
            <v>1026</v>
          </cell>
          <cell r="AF4">
            <v>1084</v>
          </cell>
          <cell r="AG4">
            <v>885</v>
          </cell>
          <cell r="AH4">
            <v>1008</v>
          </cell>
          <cell r="AI4">
            <v>21255</v>
          </cell>
          <cell r="AJ4">
            <v>22</v>
          </cell>
        </row>
        <row r="5">
          <cell r="B5" t="str">
            <v>Mr. VIJAY BHARLE</v>
          </cell>
          <cell r="C5">
            <v>101944505682</v>
          </cell>
          <cell r="D5">
            <v>0</v>
          </cell>
          <cell r="E5">
            <v>569</v>
          </cell>
          <cell r="F5">
            <v>1101</v>
          </cell>
          <cell r="G5">
            <v>704</v>
          </cell>
          <cell r="H5">
            <v>951</v>
          </cell>
          <cell r="I5">
            <v>0</v>
          </cell>
          <cell r="J5">
            <v>848</v>
          </cell>
          <cell r="K5">
            <v>0</v>
          </cell>
          <cell r="L5">
            <v>1051</v>
          </cell>
          <cell r="M5">
            <v>725</v>
          </cell>
          <cell r="N5">
            <v>957</v>
          </cell>
          <cell r="O5">
            <v>1029</v>
          </cell>
          <cell r="P5">
            <v>0</v>
          </cell>
          <cell r="Q5">
            <v>0</v>
          </cell>
          <cell r="R5">
            <v>727</v>
          </cell>
          <cell r="S5">
            <v>1122</v>
          </cell>
          <cell r="T5">
            <v>1126</v>
          </cell>
          <cell r="U5">
            <v>1114</v>
          </cell>
          <cell r="V5">
            <v>929</v>
          </cell>
          <cell r="W5">
            <v>0</v>
          </cell>
          <cell r="X5">
            <v>884</v>
          </cell>
          <cell r="Y5">
            <v>550</v>
          </cell>
          <cell r="Z5">
            <v>0</v>
          </cell>
          <cell r="AA5">
            <v>1046</v>
          </cell>
          <cell r="AB5">
            <v>717</v>
          </cell>
          <cell r="AC5">
            <v>0</v>
          </cell>
          <cell r="AD5">
            <v>0</v>
          </cell>
          <cell r="AE5">
            <v>1026</v>
          </cell>
          <cell r="AF5">
            <v>1084</v>
          </cell>
          <cell r="AG5">
            <v>885</v>
          </cell>
          <cell r="AH5">
            <v>1008</v>
          </cell>
          <cell r="AI5">
            <v>20153</v>
          </cell>
          <cell r="AJ5">
            <v>22</v>
          </cell>
        </row>
        <row r="6">
          <cell r="B6" t="str">
            <v>Mr. DIPAK DATTATRAY KUMBHAR</v>
          </cell>
          <cell r="C6">
            <v>102052667942</v>
          </cell>
          <cell r="D6">
            <v>0</v>
          </cell>
          <cell r="E6">
            <v>569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1144</v>
          </cell>
          <cell r="R6">
            <v>749</v>
          </cell>
          <cell r="S6">
            <v>1122</v>
          </cell>
          <cell r="T6">
            <v>1126</v>
          </cell>
          <cell r="U6">
            <v>1114</v>
          </cell>
          <cell r="V6">
            <v>929</v>
          </cell>
          <cell r="W6">
            <v>0</v>
          </cell>
          <cell r="X6">
            <v>0</v>
          </cell>
          <cell r="Y6">
            <v>0</v>
          </cell>
          <cell r="Z6">
            <v>902</v>
          </cell>
          <cell r="AA6">
            <v>1046</v>
          </cell>
          <cell r="AB6">
            <v>717</v>
          </cell>
          <cell r="AC6">
            <v>584</v>
          </cell>
          <cell r="AD6">
            <v>0</v>
          </cell>
          <cell r="AE6">
            <v>1026</v>
          </cell>
          <cell r="AF6">
            <v>0</v>
          </cell>
          <cell r="AG6">
            <v>885</v>
          </cell>
          <cell r="AH6">
            <v>819</v>
          </cell>
          <cell r="AI6">
            <v>12732</v>
          </cell>
          <cell r="AJ6">
            <v>14</v>
          </cell>
        </row>
        <row r="7">
          <cell r="B7" t="str">
            <v>Mr. GIRISH SIDDHARAM MADYAL</v>
          </cell>
          <cell r="C7">
            <v>101826609019</v>
          </cell>
          <cell r="D7">
            <v>0</v>
          </cell>
          <cell r="E7">
            <v>569</v>
          </cell>
          <cell r="F7">
            <v>1101</v>
          </cell>
          <cell r="G7">
            <v>704</v>
          </cell>
          <cell r="H7">
            <v>951</v>
          </cell>
          <cell r="I7">
            <v>0</v>
          </cell>
          <cell r="J7">
            <v>0</v>
          </cell>
          <cell r="K7">
            <v>0</v>
          </cell>
          <cell r="L7">
            <v>1051</v>
          </cell>
          <cell r="M7">
            <v>725</v>
          </cell>
          <cell r="N7">
            <v>957</v>
          </cell>
          <cell r="O7">
            <v>1029</v>
          </cell>
          <cell r="P7">
            <v>0</v>
          </cell>
          <cell r="Q7">
            <v>1144</v>
          </cell>
          <cell r="R7">
            <v>969</v>
          </cell>
          <cell r="S7">
            <v>0</v>
          </cell>
          <cell r="T7">
            <v>1126</v>
          </cell>
          <cell r="U7">
            <v>1114</v>
          </cell>
          <cell r="V7">
            <v>929</v>
          </cell>
          <cell r="W7">
            <v>0</v>
          </cell>
          <cell r="X7">
            <v>0</v>
          </cell>
          <cell r="Y7">
            <v>550</v>
          </cell>
          <cell r="Z7">
            <v>902</v>
          </cell>
          <cell r="AA7">
            <v>1046</v>
          </cell>
          <cell r="AB7">
            <v>717</v>
          </cell>
          <cell r="AC7">
            <v>584</v>
          </cell>
          <cell r="AD7">
            <v>0</v>
          </cell>
          <cell r="AE7">
            <v>0</v>
          </cell>
          <cell r="AF7">
            <v>1084</v>
          </cell>
          <cell r="AG7">
            <v>885</v>
          </cell>
          <cell r="AH7">
            <v>1008</v>
          </cell>
          <cell r="AI7">
            <v>19145</v>
          </cell>
          <cell r="AJ7">
            <v>21</v>
          </cell>
        </row>
        <row r="8">
          <cell r="B8" t="str">
            <v>Mr.SHVSNAND LANDAGE</v>
          </cell>
          <cell r="C8">
            <v>0</v>
          </cell>
          <cell r="D8">
            <v>0</v>
          </cell>
          <cell r="E8">
            <v>601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1034</v>
          </cell>
          <cell r="L8">
            <v>1051</v>
          </cell>
          <cell r="M8">
            <v>725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884</v>
          </cell>
          <cell r="Y8">
            <v>550</v>
          </cell>
          <cell r="Z8">
            <v>902</v>
          </cell>
          <cell r="AA8">
            <v>0</v>
          </cell>
          <cell r="AB8">
            <v>717</v>
          </cell>
          <cell r="AC8">
            <v>584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7048</v>
          </cell>
          <cell r="AJ8">
            <v>9</v>
          </cell>
        </row>
        <row r="9">
          <cell r="B9" t="str">
            <v>Mr. PUNDALIK CHANDU JADHAV</v>
          </cell>
          <cell r="C9">
            <v>101486099649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1051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900</v>
          </cell>
          <cell r="AG9">
            <v>550</v>
          </cell>
          <cell r="AH9">
            <v>1001</v>
          </cell>
          <cell r="AI9">
            <v>3502</v>
          </cell>
          <cell r="AJ9">
            <v>4</v>
          </cell>
        </row>
        <row r="10">
          <cell r="B10" t="str">
            <v>Mr. SUFIYAN SHEKULAL FULARI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550</v>
          </cell>
          <cell r="I10">
            <v>0</v>
          </cell>
          <cell r="J10">
            <v>550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550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1650</v>
          </cell>
          <cell r="AJ10">
            <v>3</v>
          </cell>
        </row>
        <row r="11">
          <cell r="B11" t="str">
            <v>DHANNAJAY  AMBURE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1374</v>
          </cell>
          <cell r="K11">
            <v>673</v>
          </cell>
          <cell r="L11">
            <v>756</v>
          </cell>
          <cell r="M11">
            <v>0</v>
          </cell>
          <cell r="N11">
            <v>0</v>
          </cell>
          <cell r="O11">
            <v>781</v>
          </cell>
          <cell r="P11">
            <v>0</v>
          </cell>
          <cell r="Q11">
            <v>632</v>
          </cell>
          <cell r="R11">
            <v>1077</v>
          </cell>
          <cell r="S11">
            <v>0</v>
          </cell>
          <cell r="T11">
            <v>1227</v>
          </cell>
          <cell r="U11">
            <v>757</v>
          </cell>
          <cell r="V11">
            <v>520</v>
          </cell>
          <cell r="W11">
            <v>0</v>
          </cell>
          <cell r="X11">
            <v>1307</v>
          </cell>
          <cell r="Y11">
            <v>0</v>
          </cell>
          <cell r="Z11">
            <v>1073</v>
          </cell>
          <cell r="AA11">
            <v>1004</v>
          </cell>
          <cell r="AB11">
            <v>1046</v>
          </cell>
          <cell r="AC11">
            <v>256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12483</v>
          </cell>
          <cell r="AJ11">
            <v>14</v>
          </cell>
        </row>
        <row r="12">
          <cell r="B12" t="str">
            <v>Mr. KASHINATH JAGANATH BIRJADAR</v>
          </cell>
          <cell r="C12">
            <v>101818174092</v>
          </cell>
          <cell r="D12">
            <v>0</v>
          </cell>
          <cell r="E12">
            <v>667</v>
          </cell>
          <cell r="F12">
            <v>550</v>
          </cell>
          <cell r="G12">
            <v>1097</v>
          </cell>
          <cell r="H12">
            <v>755</v>
          </cell>
          <cell r="I12">
            <v>0</v>
          </cell>
          <cell r="J12">
            <v>0</v>
          </cell>
          <cell r="K12">
            <v>783</v>
          </cell>
          <cell r="L12">
            <v>756</v>
          </cell>
          <cell r="M12">
            <v>1261</v>
          </cell>
          <cell r="N12">
            <v>1152</v>
          </cell>
          <cell r="O12">
            <v>781</v>
          </cell>
          <cell r="P12">
            <v>0</v>
          </cell>
          <cell r="Q12">
            <v>797</v>
          </cell>
          <cell r="R12">
            <v>1077</v>
          </cell>
          <cell r="S12">
            <v>1181</v>
          </cell>
          <cell r="T12">
            <v>0</v>
          </cell>
          <cell r="U12">
            <v>757</v>
          </cell>
          <cell r="V12">
            <v>1035</v>
          </cell>
          <cell r="W12">
            <v>0</v>
          </cell>
          <cell r="X12">
            <v>1307</v>
          </cell>
          <cell r="Y12">
            <v>835</v>
          </cell>
          <cell r="Z12">
            <v>1073</v>
          </cell>
          <cell r="AA12">
            <v>1004</v>
          </cell>
          <cell r="AB12">
            <v>1046</v>
          </cell>
          <cell r="AC12">
            <v>938</v>
          </cell>
          <cell r="AD12">
            <v>0</v>
          </cell>
          <cell r="AE12">
            <v>831</v>
          </cell>
          <cell r="AF12">
            <v>900</v>
          </cell>
          <cell r="AG12">
            <v>550</v>
          </cell>
          <cell r="AH12">
            <v>1001</v>
          </cell>
          <cell r="AI12">
            <v>22134</v>
          </cell>
          <cell r="AJ12">
            <v>24</v>
          </cell>
        </row>
        <row r="13">
          <cell r="B13" t="str">
            <v>Mr. BHIMAHSNKAR SHARNAPPA ISHWARKATTI</v>
          </cell>
          <cell r="C13">
            <v>102004077854</v>
          </cell>
          <cell r="D13">
            <v>0</v>
          </cell>
          <cell r="E13">
            <v>667</v>
          </cell>
          <cell r="F13">
            <v>550</v>
          </cell>
          <cell r="G13">
            <v>1097</v>
          </cell>
          <cell r="H13">
            <v>755</v>
          </cell>
          <cell r="I13">
            <v>0</v>
          </cell>
          <cell r="J13">
            <v>1814</v>
          </cell>
          <cell r="K13">
            <v>783</v>
          </cell>
          <cell r="L13">
            <v>756</v>
          </cell>
          <cell r="M13">
            <v>1261</v>
          </cell>
          <cell r="N13">
            <v>1152</v>
          </cell>
          <cell r="O13">
            <v>781</v>
          </cell>
          <cell r="P13">
            <v>0</v>
          </cell>
          <cell r="Q13">
            <v>0</v>
          </cell>
          <cell r="R13">
            <v>1077</v>
          </cell>
          <cell r="S13">
            <v>1181</v>
          </cell>
          <cell r="T13">
            <v>1227</v>
          </cell>
          <cell r="U13">
            <v>0</v>
          </cell>
          <cell r="V13">
            <v>1035</v>
          </cell>
          <cell r="W13">
            <v>0</v>
          </cell>
          <cell r="X13">
            <v>1307</v>
          </cell>
          <cell r="Y13">
            <v>835</v>
          </cell>
          <cell r="Z13">
            <v>0</v>
          </cell>
          <cell r="AA13">
            <v>0</v>
          </cell>
          <cell r="AB13">
            <v>0</v>
          </cell>
          <cell r="AC13">
            <v>938</v>
          </cell>
          <cell r="AD13">
            <v>0</v>
          </cell>
          <cell r="AE13">
            <v>831</v>
          </cell>
          <cell r="AF13">
            <v>900</v>
          </cell>
          <cell r="AG13">
            <v>550</v>
          </cell>
          <cell r="AH13">
            <v>1001</v>
          </cell>
          <cell r="AI13">
            <v>20498</v>
          </cell>
          <cell r="AJ13">
            <v>21</v>
          </cell>
        </row>
        <row r="14">
          <cell r="B14" t="str">
            <v>Mr. SHIVANAND KANTAPPA KOSHTI</v>
          </cell>
          <cell r="C14">
            <v>101817173110</v>
          </cell>
          <cell r="D14">
            <v>0</v>
          </cell>
          <cell r="E14">
            <v>667</v>
          </cell>
          <cell r="F14">
            <v>1540</v>
          </cell>
          <cell r="G14">
            <v>1097</v>
          </cell>
          <cell r="H14">
            <v>755</v>
          </cell>
          <cell r="I14">
            <v>0</v>
          </cell>
          <cell r="J14">
            <v>1814</v>
          </cell>
          <cell r="K14">
            <v>1486</v>
          </cell>
          <cell r="L14">
            <v>756</v>
          </cell>
          <cell r="M14">
            <v>1261</v>
          </cell>
          <cell r="N14">
            <v>1152</v>
          </cell>
          <cell r="O14">
            <v>0</v>
          </cell>
          <cell r="P14">
            <v>0</v>
          </cell>
          <cell r="Q14">
            <v>797</v>
          </cell>
          <cell r="R14">
            <v>1077</v>
          </cell>
          <cell r="S14">
            <v>1181</v>
          </cell>
          <cell r="T14">
            <v>1227</v>
          </cell>
          <cell r="U14">
            <v>757</v>
          </cell>
          <cell r="V14">
            <v>1035</v>
          </cell>
          <cell r="W14">
            <v>0</v>
          </cell>
          <cell r="X14">
            <v>0</v>
          </cell>
          <cell r="Y14">
            <v>835</v>
          </cell>
          <cell r="Z14">
            <v>1073</v>
          </cell>
          <cell r="AA14">
            <v>1004</v>
          </cell>
          <cell r="AB14">
            <v>1046</v>
          </cell>
          <cell r="AC14">
            <v>938</v>
          </cell>
          <cell r="AD14">
            <v>0</v>
          </cell>
          <cell r="AE14">
            <v>831</v>
          </cell>
          <cell r="AF14">
            <v>900</v>
          </cell>
          <cell r="AG14">
            <v>550</v>
          </cell>
          <cell r="AH14">
            <v>1001</v>
          </cell>
          <cell r="AI14">
            <v>24780</v>
          </cell>
          <cell r="AJ14">
            <v>26</v>
          </cell>
        </row>
        <row r="15">
          <cell r="B15" t="str">
            <v>Mr. KHAJASAHEB GULAB HIMONE</v>
          </cell>
          <cell r="C15">
            <v>102120964651</v>
          </cell>
          <cell r="D15">
            <v>0</v>
          </cell>
          <cell r="E15">
            <v>667</v>
          </cell>
          <cell r="F15">
            <v>550</v>
          </cell>
          <cell r="G15">
            <v>1097</v>
          </cell>
          <cell r="H15">
            <v>755</v>
          </cell>
          <cell r="I15">
            <v>0</v>
          </cell>
          <cell r="J15">
            <v>1814</v>
          </cell>
          <cell r="K15">
            <v>783</v>
          </cell>
          <cell r="L15">
            <v>756</v>
          </cell>
          <cell r="M15">
            <v>1261</v>
          </cell>
          <cell r="N15">
            <v>1152</v>
          </cell>
          <cell r="O15">
            <v>781</v>
          </cell>
          <cell r="P15">
            <v>0</v>
          </cell>
          <cell r="Q15">
            <v>797</v>
          </cell>
          <cell r="R15">
            <v>1077</v>
          </cell>
          <cell r="S15">
            <v>1181</v>
          </cell>
          <cell r="T15">
            <v>1227</v>
          </cell>
          <cell r="U15">
            <v>757</v>
          </cell>
          <cell r="V15">
            <v>1035</v>
          </cell>
          <cell r="W15">
            <v>0</v>
          </cell>
          <cell r="X15">
            <v>1307</v>
          </cell>
          <cell r="Y15">
            <v>835</v>
          </cell>
          <cell r="Z15">
            <v>1073</v>
          </cell>
          <cell r="AA15">
            <v>1004</v>
          </cell>
          <cell r="AB15">
            <v>1046</v>
          </cell>
          <cell r="AC15">
            <v>938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1001</v>
          </cell>
          <cell r="AI15">
            <v>22894</v>
          </cell>
          <cell r="AJ15">
            <v>23</v>
          </cell>
        </row>
        <row r="16">
          <cell r="B16" t="str">
            <v>Mr. VISHAL SURESH MANE</v>
          </cell>
          <cell r="C16">
            <v>101432431093</v>
          </cell>
          <cell r="D16">
            <v>0</v>
          </cell>
          <cell r="E16">
            <v>667</v>
          </cell>
          <cell r="F16">
            <v>550</v>
          </cell>
          <cell r="G16">
            <v>1097</v>
          </cell>
          <cell r="H16">
            <v>755</v>
          </cell>
          <cell r="I16">
            <v>0</v>
          </cell>
          <cell r="J16">
            <v>1814</v>
          </cell>
          <cell r="K16">
            <v>783</v>
          </cell>
          <cell r="L16">
            <v>756</v>
          </cell>
          <cell r="M16">
            <v>1261</v>
          </cell>
          <cell r="N16">
            <v>1152</v>
          </cell>
          <cell r="O16">
            <v>781</v>
          </cell>
          <cell r="P16">
            <v>0</v>
          </cell>
          <cell r="Q16">
            <v>797</v>
          </cell>
          <cell r="R16">
            <v>1077</v>
          </cell>
          <cell r="S16">
            <v>1181</v>
          </cell>
          <cell r="T16">
            <v>1227</v>
          </cell>
          <cell r="U16">
            <v>757</v>
          </cell>
          <cell r="V16">
            <v>1035</v>
          </cell>
          <cell r="W16">
            <v>0</v>
          </cell>
          <cell r="X16">
            <v>1307</v>
          </cell>
          <cell r="Y16">
            <v>835</v>
          </cell>
          <cell r="Z16">
            <v>1073</v>
          </cell>
          <cell r="AA16">
            <v>1004</v>
          </cell>
          <cell r="AB16">
            <v>1046</v>
          </cell>
          <cell r="AC16">
            <v>938</v>
          </cell>
          <cell r="AD16">
            <v>0</v>
          </cell>
          <cell r="AE16">
            <v>831</v>
          </cell>
          <cell r="AF16">
            <v>900</v>
          </cell>
          <cell r="AG16">
            <v>550</v>
          </cell>
          <cell r="AH16">
            <v>1001</v>
          </cell>
          <cell r="AI16">
            <v>25175</v>
          </cell>
          <cell r="AJ16">
            <v>26</v>
          </cell>
        </row>
        <row r="17">
          <cell r="B17" t="str">
            <v>Mr. NAMDEV DURGAPPA BANDGAR</v>
          </cell>
          <cell r="C17">
            <v>101407413648</v>
          </cell>
          <cell r="D17">
            <v>0</v>
          </cell>
          <cell r="E17">
            <v>0</v>
          </cell>
          <cell r="F17">
            <v>1782</v>
          </cell>
          <cell r="G17">
            <v>846</v>
          </cell>
          <cell r="H17">
            <v>905</v>
          </cell>
          <cell r="I17">
            <v>0</v>
          </cell>
          <cell r="J17">
            <v>638</v>
          </cell>
          <cell r="K17">
            <v>1109</v>
          </cell>
          <cell r="L17">
            <v>1005</v>
          </cell>
          <cell r="M17">
            <v>832</v>
          </cell>
          <cell r="N17">
            <v>716</v>
          </cell>
          <cell r="O17">
            <v>622</v>
          </cell>
          <cell r="P17">
            <v>0</v>
          </cell>
          <cell r="Q17">
            <v>1104</v>
          </cell>
          <cell r="R17">
            <v>1126</v>
          </cell>
          <cell r="S17">
            <v>818</v>
          </cell>
          <cell r="T17">
            <v>1175</v>
          </cell>
          <cell r="U17">
            <v>1073</v>
          </cell>
          <cell r="V17">
            <v>939</v>
          </cell>
          <cell r="W17">
            <v>903</v>
          </cell>
          <cell r="X17">
            <v>609</v>
          </cell>
          <cell r="Y17">
            <v>702</v>
          </cell>
          <cell r="Z17">
            <v>941</v>
          </cell>
          <cell r="AA17">
            <v>1012</v>
          </cell>
          <cell r="AB17">
            <v>558</v>
          </cell>
          <cell r="AC17">
            <v>706</v>
          </cell>
          <cell r="AD17">
            <v>1104</v>
          </cell>
          <cell r="AE17">
            <v>900</v>
          </cell>
          <cell r="AF17">
            <v>807</v>
          </cell>
          <cell r="AG17">
            <v>703</v>
          </cell>
          <cell r="AH17">
            <v>547</v>
          </cell>
          <cell r="AI17">
            <v>24182</v>
          </cell>
          <cell r="AJ17">
            <v>28</v>
          </cell>
        </row>
        <row r="18">
          <cell r="B18" t="str">
            <v>Mr. KHALID ILAI SHAIKH</v>
          </cell>
          <cell r="C18">
            <v>101373078654</v>
          </cell>
          <cell r="D18">
            <v>0</v>
          </cell>
          <cell r="E18">
            <v>0</v>
          </cell>
          <cell r="F18">
            <v>959</v>
          </cell>
          <cell r="G18">
            <v>443</v>
          </cell>
          <cell r="H18">
            <v>905</v>
          </cell>
          <cell r="I18">
            <v>0</v>
          </cell>
          <cell r="J18">
            <v>638</v>
          </cell>
          <cell r="K18">
            <v>1109</v>
          </cell>
          <cell r="L18">
            <v>1005</v>
          </cell>
          <cell r="M18">
            <v>832</v>
          </cell>
          <cell r="N18">
            <v>716</v>
          </cell>
          <cell r="O18">
            <v>622</v>
          </cell>
          <cell r="P18">
            <v>0</v>
          </cell>
          <cell r="Q18">
            <v>1104</v>
          </cell>
          <cell r="R18">
            <v>1126</v>
          </cell>
          <cell r="S18">
            <v>818</v>
          </cell>
          <cell r="T18">
            <v>1175</v>
          </cell>
          <cell r="U18">
            <v>1073</v>
          </cell>
          <cell r="V18">
            <v>939</v>
          </cell>
          <cell r="W18">
            <v>0</v>
          </cell>
          <cell r="X18">
            <v>609</v>
          </cell>
          <cell r="Y18">
            <v>702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807</v>
          </cell>
          <cell r="AG18">
            <v>703</v>
          </cell>
          <cell r="AH18">
            <v>547</v>
          </cell>
          <cell r="AI18">
            <v>16832</v>
          </cell>
          <cell r="AJ18">
            <v>20</v>
          </cell>
        </row>
        <row r="19">
          <cell r="B19" t="str">
            <v>Mr. WAGHMODE DATTATRAY ASHOK</v>
          </cell>
          <cell r="C19">
            <v>101391642731</v>
          </cell>
          <cell r="D19">
            <v>0</v>
          </cell>
          <cell r="E19">
            <v>0</v>
          </cell>
          <cell r="F19">
            <v>959</v>
          </cell>
          <cell r="G19">
            <v>846</v>
          </cell>
          <cell r="H19">
            <v>905</v>
          </cell>
          <cell r="I19">
            <v>0</v>
          </cell>
          <cell r="J19">
            <v>0</v>
          </cell>
          <cell r="K19">
            <v>1109</v>
          </cell>
          <cell r="L19">
            <v>1005</v>
          </cell>
          <cell r="M19">
            <v>832</v>
          </cell>
          <cell r="N19">
            <v>716</v>
          </cell>
          <cell r="O19">
            <v>622</v>
          </cell>
          <cell r="P19">
            <v>0</v>
          </cell>
          <cell r="Q19">
            <v>1104</v>
          </cell>
          <cell r="R19">
            <v>1126</v>
          </cell>
          <cell r="S19">
            <v>818</v>
          </cell>
          <cell r="T19">
            <v>1175</v>
          </cell>
          <cell r="U19">
            <v>1073</v>
          </cell>
          <cell r="V19">
            <v>939</v>
          </cell>
          <cell r="W19">
            <v>0</v>
          </cell>
          <cell r="X19">
            <v>609</v>
          </cell>
          <cell r="Y19">
            <v>702</v>
          </cell>
          <cell r="Z19">
            <v>941</v>
          </cell>
          <cell r="AA19">
            <v>1012</v>
          </cell>
          <cell r="AB19">
            <v>558</v>
          </cell>
          <cell r="AC19">
            <v>706</v>
          </cell>
          <cell r="AD19">
            <v>0</v>
          </cell>
          <cell r="AE19">
            <v>900</v>
          </cell>
          <cell r="AF19">
            <v>807</v>
          </cell>
          <cell r="AG19">
            <v>703</v>
          </cell>
          <cell r="AH19">
            <v>547</v>
          </cell>
          <cell r="AI19">
            <v>20714</v>
          </cell>
          <cell r="AJ19">
            <v>24</v>
          </cell>
        </row>
        <row r="20">
          <cell r="B20" t="str">
            <v>Mr. SATISH SHIVAJI SHINDE</v>
          </cell>
          <cell r="C20">
            <v>101475170616</v>
          </cell>
          <cell r="D20">
            <v>0</v>
          </cell>
          <cell r="E20">
            <v>0</v>
          </cell>
          <cell r="F20">
            <v>959</v>
          </cell>
          <cell r="G20">
            <v>846</v>
          </cell>
          <cell r="H20">
            <v>905</v>
          </cell>
          <cell r="I20">
            <v>0</v>
          </cell>
          <cell r="J20">
            <v>638</v>
          </cell>
          <cell r="K20">
            <v>1109</v>
          </cell>
          <cell r="L20">
            <v>1005</v>
          </cell>
          <cell r="M20">
            <v>832</v>
          </cell>
          <cell r="N20">
            <v>716</v>
          </cell>
          <cell r="O20">
            <v>622</v>
          </cell>
          <cell r="P20">
            <v>0</v>
          </cell>
          <cell r="Q20">
            <v>1012</v>
          </cell>
          <cell r="R20">
            <v>1126</v>
          </cell>
          <cell r="S20">
            <v>0</v>
          </cell>
          <cell r="T20">
            <v>0</v>
          </cell>
          <cell r="U20">
            <v>1073</v>
          </cell>
          <cell r="V20">
            <v>939</v>
          </cell>
          <cell r="W20">
            <v>0</v>
          </cell>
          <cell r="X20">
            <v>609</v>
          </cell>
          <cell r="Y20">
            <v>702</v>
          </cell>
          <cell r="Z20">
            <v>941</v>
          </cell>
          <cell r="AA20">
            <v>596</v>
          </cell>
          <cell r="AB20">
            <v>0</v>
          </cell>
          <cell r="AC20">
            <v>0</v>
          </cell>
          <cell r="AD20">
            <v>0</v>
          </cell>
          <cell r="AE20">
            <v>900</v>
          </cell>
          <cell r="AF20">
            <v>807</v>
          </cell>
          <cell r="AG20">
            <v>703</v>
          </cell>
          <cell r="AH20">
            <v>547</v>
          </cell>
          <cell r="AI20">
            <v>17587</v>
          </cell>
          <cell r="AJ20">
            <v>21</v>
          </cell>
        </row>
        <row r="21">
          <cell r="B21" t="str">
            <v>Mr. KASHINATH ABHIMANU PATIL</v>
          </cell>
          <cell r="C21">
            <v>101520450548</v>
          </cell>
          <cell r="D21">
            <v>0</v>
          </cell>
          <cell r="E21">
            <v>0</v>
          </cell>
          <cell r="F21">
            <v>959</v>
          </cell>
          <cell r="G21">
            <v>846</v>
          </cell>
          <cell r="H21">
            <v>905</v>
          </cell>
          <cell r="I21">
            <v>1008</v>
          </cell>
          <cell r="J21">
            <v>638</v>
          </cell>
          <cell r="K21">
            <v>1109</v>
          </cell>
          <cell r="L21">
            <v>1005</v>
          </cell>
          <cell r="M21">
            <v>832</v>
          </cell>
          <cell r="N21">
            <v>716</v>
          </cell>
          <cell r="O21">
            <v>622</v>
          </cell>
          <cell r="P21">
            <v>0</v>
          </cell>
          <cell r="Q21">
            <v>1104</v>
          </cell>
          <cell r="R21">
            <v>1126</v>
          </cell>
          <cell r="S21">
            <v>818</v>
          </cell>
          <cell r="T21">
            <v>0</v>
          </cell>
          <cell r="U21">
            <v>1073</v>
          </cell>
          <cell r="V21">
            <v>939</v>
          </cell>
          <cell r="W21">
            <v>903</v>
          </cell>
          <cell r="X21">
            <v>609</v>
          </cell>
          <cell r="Y21">
            <v>702</v>
          </cell>
          <cell r="Z21">
            <v>941</v>
          </cell>
          <cell r="AA21">
            <v>1012</v>
          </cell>
          <cell r="AB21">
            <v>558</v>
          </cell>
          <cell r="AC21">
            <v>706</v>
          </cell>
          <cell r="AD21">
            <v>1104</v>
          </cell>
          <cell r="AE21">
            <v>900</v>
          </cell>
          <cell r="AF21">
            <v>807</v>
          </cell>
          <cell r="AG21">
            <v>703</v>
          </cell>
          <cell r="AH21">
            <v>547</v>
          </cell>
          <cell r="AI21">
            <v>23192</v>
          </cell>
          <cell r="AJ21">
            <v>27</v>
          </cell>
        </row>
        <row r="22">
          <cell r="B22" t="str">
            <v>Mr. SAGAR RAMESH GHARSANGI</v>
          </cell>
          <cell r="C22">
            <v>101154454730</v>
          </cell>
          <cell r="D22">
            <v>0</v>
          </cell>
          <cell r="E22">
            <v>601</v>
          </cell>
          <cell r="F22">
            <v>689</v>
          </cell>
          <cell r="G22">
            <v>846</v>
          </cell>
          <cell r="H22">
            <v>905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818</v>
          </cell>
          <cell r="T22">
            <v>1175</v>
          </cell>
          <cell r="U22">
            <v>1073</v>
          </cell>
          <cell r="V22">
            <v>939</v>
          </cell>
          <cell r="W22">
            <v>903</v>
          </cell>
          <cell r="X22">
            <v>0</v>
          </cell>
          <cell r="Y22">
            <v>702</v>
          </cell>
          <cell r="Z22">
            <v>941</v>
          </cell>
          <cell r="AA22">
            <v>1012</v>
          </cell>
          <cell r="AB22">
            <v>0</v>
          </cell>
          <cell r="AC22">
            <v>0</v>
          </cell>
          <cell r="AD22">
            <v>0</v>
          </cell>
          <cell r="AE22">
            <v>900</v>
          </cell>
          <cell r="AF22">
            <v>807</v>
          </cell>
          <cell r="AG22">
            <v>0</v>
          </cell>
          <cell r="AH22">
            <v>547</v>
          </cell>
          <cell r="AI22">
            <v>12858</v>
          </cell>
          <cell r="AJ22">
            <v>15</v>
          </cell>
        </row>
        <row r="23">
          <cell r="B23" t="str">
            <v>AJAY PENTA</v>
          </cell>
          <cell r="C23">
            <v>0</v>
          </cell>
          <cell r="D23">
            <v>0</v>
          </cell>
          <cell r="E23">
            <v>601</v>
          </cell>
          <cell r="F23">
            <v>959</v>
          </cell>
          <cell r="G23">
            <v>846</v>
          </cell>
          <cell r="H23">
            <v>905</v>
          </cell>
          <cell r="I23">
            <v>0</v>
          </cell>
          <cell r="J23">
            <v>638</v>
          </cell>
          <cell r="K23">
            <v>1109</v>
          </cell>
          <cell r="L23">
            <v>1005</v>
          </cell>
          <cell r="M23">
            <v>832</v>
          </cell>
          <cell r="N23">
            <v>716</v>
          </cell>
          <cell r="O23">
            <v>622</v>
          </cell>
          <cell r="P23">
            <v>0</v>
          </cell>
          <cell r="Q23">
            <v>1104</v>
          </cell>
          <cell r="R23">
            <v>1126</v>
          </cell>
          <cell r="S23">
            <v>818</v>
          </cell>
          <cell r="T23">
            <v>1175</v>
          </cell>
          <cell r="U23">
            <v>1073</v>
          </cell>
          <cell r="V23">
            <v>939</v>
          </cell>
          <cell r="W23">
            <v>0</v>
          </cell>
          <cell r="X23">
            <v>609</v>
          </cell>
          <cell r="Y23">
            <v>702</v>
          </cell>
          <cell r="Z23">
            <v>941</v>
          </cell>
          <cell r="AA23">
            <v>1012</v>
          </cell>
          <cell r="AB23">
            <v>558</v>
          </cell>
          <cell r="AC23">
            <v>706</v>
          </cell>
          <cell r="AD23">
            <v>0</v>
          </cell>
          <cell r="AE23">
            <v>900</v>
          </cell>
          <cell r="AF23">
            <v>807</v>
          </cell>
          <cell r="AG23">
            <v>703</v>
          </cell>
          <cell r="AH23">
            <v>547</v>
          </cell>
          <cell r="AI23">
            <v>21953</v>
          </cell>
          <cell r="AJ23">
            <v>26</v>
          </cell>
        </row>
        <row r="24">
          <cell r="B24" t="str">
            <v>Mr. HARUN BASHA MULLA</v>
          </cell>
          <cell r="C24">
            <v>102209140373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638</v>
          </cell>
          <cell r="K24">
            <v>0</v>
          </cell>
          <cell r="L24">
            <v>0</v>
          </cell>
          <cell r="M24">
            <v>832</v>
          </cell>
          <cell r="N24">
            <v>716</v>
          </cell>
          <cell r="O24">
            <v>622</v>
          </cell>
          <cell r="P24">
            <v>0</v>
          </cell>
          <cell r="Q24">
            <v>0</v>
          </cell>
          <cell r="R24">
            <v>0</v>
          </cell>
          <cell r="S24">
            <v>818</v>
          </cell>
          <cell r="T24">
            <v>1175</v>
          </cell>
          <cell r="U24">
            <v>0</v>
          </cell>
          <cell r="V24">
            <v>0</v>
          </cell>
          <cell r="W24">
            <v>903</v>
          </cell>
          <cell r="X24">
            <v>609</v>
          </cell>
          <cell r="Y24">
            <v>0</v>
          </cell>
          <cell r="Z24">
            <v>0</v>
          </cell>
          <cell r="AA24">
            <v>0</v>
          </cell>
          <cell r="AB24">
            <v>558</v>
          </cell>
          <cell r="AC24">
            <v>706</v>
          </cell>
          <cell r="AD24">
            <v>1104</v>
          </cell>
          <cell r="AE24">
            <v>0</v>
          </cell>
          <cell r="AF24">
            <v>807</v>
          </cell>
          <cell r="AG24">
            <v>703</v>
          </cell>
          <cell r="AH24">
            <v>0</v>
          </cell>
          <cell r="AI24">
            <v>10191</v>
          </cell>
          <cell r="AJ24">
            <v>13</v>
          </cell>
        </row>
        <row r="25">
          <cell r="B25" t="str">
            <v xml:space="preserve">ANKUSH BHALE </v>
          </cell>
          <cell r="C25">
            <v>101835374035</v>
          </cell>
          <cell r="D25">
            <v>0</v>
          </cell>
          <cell r="E25">
            <v>601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565</v>
          </cell>
          <cell r="W25">
            <v>0</v>
          </cell>
          <cell r="X25">
            <v>0</v>
          </cell>
          <cell r="Y25">
            <v>0</v>
          </cell>
          <cell r="Z25">
            <v>941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641</v>
          </cell>
          <cell r="AG25">
            <v>561</v>
          </cell>
          <cell r="AH25">
            <v>0</v>
          </cell>
          <cell r="AI25">
            <v>3309</v>
          </cell>
          <cell r="AJ25">
            <v>5</v>
          </cell>
        </row>
        <row r="26">
          <cell r="B26" t="str">
            <v>MANGESH ANKUSHRAO</v>
          </cell>
          <cell r="C26">
            <v>101084612898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818</v>
          </cell>
          <cell r="T26">
            <v>1175</v>
          </cell>
          <cell r="U26">
            <v>1073</v>
          </cell>
          <cell r="V26">
            <v>939</v>
          </cell>
          <cell r="W26">
            <v>0</v>
          </cell>
          <cell r="X26">
            <v>345</v>
          </cell>
          <cell r="Y26">
            <v>0</v>
          </cell>
          <cell r="Z26">
            <v>928</v>
          </cell>
          <cell r="AA26">
            <v>471</v>
          </cell>
          <cell r="AB26">
            <v>1007</v>
          </cell>
          <cell r="AC26">
            <v>0</v>
          </cell>
          <cell r="AD26">
            <v>0</v>
          </cell>
          <cell r="AE26">
            <v>535</v>
          </cell>
          <cell r="AF26">
            <v>0</v>
          </cell>
          <cell r="AG26">
            <v>0</v>
          </cell>
          <cell r="AH26">
            <v>595</v>
          </cell>
          <cell r="AI26">
            <v>7886</v>
          </cell>
          <cell r="AJ26">
            <v>10</v>
          </cell>
        </row>
        <row r="27">
          <cell r="B27" t="str">
            <v>RAHUL CHAWHAN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500</v>
          </cell>
          <cell r="L27">
            <v>500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1000</v>
          </cell>
          <cell r="AJ27">
            <v>2</v>
          </cell>
        </row>
        <row r="28">
          <cell r="B28" t="str">
            <v>Mr. AKASH JAGNNATH TENGALE</v>
          </cell>
          <cell r="C28">
            <v>101747190938</v>
          </cell>
          <cell r="D28">
            <v>0</v>
          </cell>
          <cell r="E28">
            <v>817</v>
          </cell>
          <cell r="F28">
            <v>959</v>
          </cell>
          <cell r="G28">
            <v>846</v>
          </cell>
          <cell r="H28">
            <v>905</v>
          </cell>
          <cell r="I28">
            <v>1008</v>
          </cell>
          <cell r="J28">
            <v>638</v>
          </cell>
          <cell r="K28">
            <v>1109</v>
          </cell>
          <cell r="L28">
            <v>1005</v>
          </cell>
          <cell r="M28">
            <v>1883</v>
          </cell>
          <cell r="N28">
            <v>716</v>
          </cell>
          <cell r="O28">
            <v>622</v>
          </cell>
          <cell r="P28">
            <v>0</v>
          </cell>
          <cell r="Q28">
            <v>1104</v>
          </cell>
          <cell r="R28">
            <v>1126</v>
          </cell>
          <cell r="S28">
            <v>0</v>
          </cell>
          <cell r="T28">
            <v>1175</v>
          </cell>
          <cell r="U28">
            <v>1073</v>
          </cell>
          <cell r="V28">
            <v>939</v>
          </cell>
          <cell r="W28">
            <v>0</v>
          </cell>
          <cell r="X28">
            <v>609</v>
          </cell>
          <cell r="Y28">
            <v>725</v>
          </cell>
          <cell r="Z28">
            <v>941</v>
          </cell>
          <cell r="AA28">
            <v>1012</v>
          </cell>
          <cell r="AB28">
            <v>558</v>
          </cell>
          <cell r="AC28">
            <v>706</v>
          </cell>
          <cell r="AD28">
            <v>1104</v>
          </cell>
          <cell r="AE28">
            <v>900</v>
          </cell>
          <cell r="AF28">
            <v>807</v>
          </cell>
          <cell r="AG28">
            <v>703</v>
          </cell>
          <cell r="AH28">
            <v>547</v>
          </cell>
          <cell r="AI28">
            <v>24537</v>
          </cell>
          <cell r="AJ28">
            <v>28</v>
          </cell>
        </row>
        <row r="29">
          <cell r="B29" t="str">
            <v>Mr. AMOL TEJU RATHOD</v>
          </cell>
          <cell r="C29">
            <v>101509952020</v>
          </cell>
          <cell r="D29">
            <v>0</v>
          </cell>
          <cell r="E29">
            <v>817</v>
          </cell>
          <cell r="F29">
            <v>823</v>
          </cell>
          <cell r="G29">
            <v>901</v>
          </cell>
          <cell r="H29">
            <v>955</v>
          </cell>
          <cell r="I29">
            <v>1008</v>
          </cell>
          <cell r="J29">
            <v>808</v>
          </cell>
          <cell r="K29">
            <v>886</v>
          </cell>
          <cell r="L29">
            <v>960</v>
          </cell>
          <cell r="M29">
            <v>1051</v>
          </cell>
          <cell r="N29">
            <v>918</v>
          </cell>
          <cell r="O29">
            <v>803</v>
          </cell>
          <cell r="P29">
            <v>0</v>
          </cell>
          <cell r="Q29">
            <v>701</v>
          </cell>
          <cell r="R29">
            <v>1002</v>
          </cell>
          <cell r="S29">
            <v>1064</v>
          </cell>
          <cell r="T29">
            <v>1008</v>
          </cell>
          <cell r="U29">
            <v>1003</v>
          </cell>
          <cell r="V29">
            <v>565</v>
          </cell>
          <cell r="W29">
            <v>0</v>
          </cell>
          <cell r="X29">
            <v>734</v>
          </cell>
          <cell r="Y29">
            <v>725</v>
          </cell>
          <cell r="Z29">
            <v>928</v>
          </cell>
          <cell r="AA29">
            <v>704</v>
          </cell>
          <cell r="AB29">
            <v>1007</v>
          </cell>
          <cell r="AC29">
            <v>712</v>
          </cell>
          <cell r="AD29">
            <v>0</v>
          </cell>
          <cell r="AE29">
            <v>635</v>
          </cell>
          <cell r="AF29">
            <v>641</v>
          </cell>
          <cell r="AG29">
            <v>561</v>
          </cell>
          <cell r="AH29">
            <v>595</v>
          </cell>
          <cell r="AI29">
            <v>22515</v>
          </cell>
          <cell r="AJ29">
            <v>27</v>
          </cell>
        </row>
        <row r="30">
          <cell r="B30" t="str">
            <v>Mr. MALLINATH SHIVARAM VHANAKADE</v>
          </cell>
          <cell r="C30">
            <v>101522138160</v>
          </cell>
          <cell r="D30">
            <v>0</v>
          </cell>
          <cell r="E30">
            <v>817</v>
          </cell>
          <cell r="F30">
            <v>0</v>
          </cell>
          <cell r="G30">
            <v>901</v>
          </cell>
          <cell r="H30">
            <v>955</v>
          </cell>
          <cell r="I30">
            <v>0</v>
          </cell>
          <cell r="J30">
            <v>808</v>
          </cell>
          <cell r="K30">
            <v>886</v>
          </cell>
          <cell r="L30">
            <v>960</v>
          </cell>
          <cell r="M30">
            <v>1051</v>
          </cell>
          <cell r="N30">
            <v>918</v>
          </cell>
          <cell r="O30">
            <v>803</v>
          </cell>
          <cell r="P30">
            <v>0</v>
          </cell>
          <cell r="Q30">
            <v>701</v>
          </cell>
          <cell r="R30">
            <v>1002</v>
          </cell>
          <cell r="S30">
            <v>1064</v>
          </cell>
          <cell r="T30">
            <v>1008</v>
          </cell>
          <cell r="U30">
            <v>0</v>
          </cell>
          <cell r="V30">
            <v>0</v>
          </cell>
          <cell r="W30">
            <v>0</v>
          </cell>
          <cell r="X30">
            <v>734</v>
          </cell>
          <cell r="Y30">
            <v>725</v>
          </cell>
          <cell r="Z30">
            <v>928</v>
          </cell>
          <cell r="AA30">
            <v>704</v>
          </cell>
          <cell r="AB30">
            <v>441</v>
          </cell>
          <cell r="AC30">
            <v>712</v>
          </cell>
          <cell r="AD30">
            <v>0</v>
          </cell>
          <cell r="AE30">
            <v>635</v>
          </cell>
          <cell r="AF30">
            <v>641</v>
          </cell>
          <cell r="AG30">
            <v>561</v>
          </cell>
          <cell r="AH30">
            <v>595</v>
          </cell>
          <cell r="AI30">
            <v>18550</v>
          </cell>
          <cell r="AJ30">
            <v>23</v>
          </cell>
        </row>
        <row r="31">
          <cell r="B31" t="str">
            <v>Mr. DINESH VASANT SALGAR</v>
          </cell>
          <cell r="C31">
            <v>102053057886</v>
          </cell>
          <cell r="D31">
            <v>0</v>
          </cell>
          <cell r="E31">
            <v>601</v>
          </cell>
          <cell r="F31">
            <v>0</v>
          </cell>
          <cell r="G31">
            <v>901</v>
          </cell>
          <cell r="H31">
            <v>955</v>
          </cell>
          <cell r="I31">
            <v>1008</v>
          </cell>
          <cell r="J31">
            <v>808</v>
          </cell>
          <cell r="K31">
            <v>0</v>
          </cell>
          <cell r="L31">
            <v>0</v>
          </cell>
          <cell r="M31">
            <v>1051</v>
          </cell>
          <cell r="N31">
            <v>918</v>
          </cell>
          <cell r="O31">
            <v>803</v>
          </cell>
          <cell r="P31">
            <v>0</v>
          </cell>
          <cell r="Q31">
            <v>701</v>
          </cell>
          <cell r="R31">
            <v>1002</v>
          </cell>
          <cell r="S31">
            <v>1064</v>
          </cell>
          <cell r="T31">
            <v>1008</v>
          </cell>
          <cell r="U31">
            <v>0</v>
          </cell>
          <cell r="V31">
            <v>817</v>
          </cell>
          <cell r="W31">
            <v>0</v>
          </cell>
          <cell r="X31">
            <v>734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12371</v>
          </cell>
          <cell r="AJ31">
            <v>14</v>
          </cell>
        </row>
        <row r="32">
          <cell r="B32" t="str">
            <v>ROHAN BABURAO PANDIT</v>
          </cell>
          <cell r="C32">
            <v>0</v>
          </cell>
          <cell r="D32">
            <v>0</v>
          </cell>
          <cell r="E32">
            <v>817</v>
          </cell>
          <cell r="F32">
            <v>823</v>
          </cell>
          <cell r="G32">
            <v>901</v>
          </cell>
          <cell r="H32">
            <v>955</v>
          </cell>
          <cell r="I32">
            <v>1008</v>
          </cell>
          <cell r="J32">
            <v>808</v>
          </cell>
          <cell r="K32">
            <v>886</v>
          </cell>
          <cell r="L32">
            <v>960</v>
          </cell>
          <cell r="M32">
            <v>566</v>
          </cell>
          <cell r="N32">
            <v>918</v>
          </cell>
          <cell r="O32">
            <v>803</v>
          </cell>
          <cell r="P32">
            <v>0</v>
          </cell>
          <cell r="Q32">
            <v>701</v>
          </cell>
          <cell r="R32">
            <v>1002</v>
          </cell>
          <cell r="S32">
            <v>955</v>
          </cell>
          <cell r="T32">
            <v>1008</v>
          </cell>
          <cell r="U32">
            <v>1003</v>
          </cell>
          <cell r="V32">
            <v>817</v>
          </cell>
          <cell r="W32">
            <v>0</v>
          </cell>
          <cell r="X32">
            <v>734</v>
          </cell>
          <cell r="Y32">
            <v>725</v>
          </cell>
          <cell r="Z32">
            <v>928</v>
          </cell>
          <cell r="AA32">
            <v>704</v>
          </cell>
          <cell r="AB32">
            <v>1007</v>
          </cell>
          <cell r="AC32">
            <v>712</v>
          </cell>
          <cell r="AD32">
            <v>0</v>
          </cell>
          <cell r="AE32">
            <v>635</v>
          </cell>
          <cell r="AF32">
            <v>641</v>
          </cell>
          <cell r="AG32">
            <v>561</v>
          </cell>
          <cell r="AH32">
            <v>595</v>
          </cell>
          <cell r="AI32">
            <v>22173</v>
          </cell>
          <cell r="AJ32">
            <v>27</v>
          </cell>
        </row>
        <row r="33">
          <cell r="B33" t="str">
            <v>Mr. YUVRAJ MALAKARI HIRKURE</v>
          </cell>
          <cell r="C33">
            <v>102190249257</v>
          </cell>
          <cell r="D33">
            <v>0</v>
          </cell>
          <cell r="E33">
            <v>0</v>
          </cell>
          <cell r="F33">
            <v>823</v>
          </cell>
          <cell r="G33">
            <v>901</v>
          </cell>
          <cell r="H33">
            <v>955</v>
          </cell>
          <cell r="I33">
            <v>0</v>
          </cell>
          <cell r="J33">
            <v>808</v>
          </cell>
          <cell r="K33">
            <v>886</v>
          </cell>
          <cell r="L33">
            <v>0</v>
          </cell>
          <cell r="M33">
            <v>1051</v>
          </cell>
          <cell r="N33">
            <v>918</v>
          </cell>
          <cell r="O33">
            <v>803</v>
          </cell>
          <cell r="P33">
            <v>0</v>
          </cell>
          <cell r="Q33">
            <v>701</v>
          </cell>
          <cell r="R33">
            <v>1002</v>
          </cell>
          <cell r="S33">
            <v>0</v>
          </cell>
          <cell r="T33">
            <v>1008</v>
          </cell>
          <cell r="U33">
            <v>1003</v>
          </cell>
          <cell r="V33">
            <v>817</v>
          </cell>
          <cell r="W33">
            <v>0</v>
          </cell>
          <cell r="X33">
            <v>0</v>
          </cell>
          <cell r="Y33">
            <v>0</v>
          </cell>
          <cell r="Z33">
            <v>928</v>
          </cell>
          <cell r="AA33">
            <v>704</v>
          </cell>
          <cell r="AB33">
            <v>1007</v>
          </cell>
          <cell r="AC33">
            <v>712</v>
          </cell>
          <cell r="AD33">
            <v>1104</v>
          </cell>
          <cell r="AE33">
            <v>635</v>
          </cell>
          <cell r="AF33">
            <v>641</v>
          </cell>
          <cell r="AG33">
            <v>561</v>
          </cell>
          <cell r="AH33">
            <v>595</v>
          </cell>
          <cell r="AI33">
            <v>18563</v>
          </cell>
          <cell r="AJ33">
            <v>22</v>
          </cell>
        </row>
        <row r="34">
          <cell r="B34" t="str">
            <v>Mr. ABHISHEK SUNIL RATHOD</v>
          </cell>
          <cell r="C34">
            <v>102078951370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808</v>
          </cell>
          <cell r="K34">
            <v>886</v>
          </cell>
          <cell r="L34">
            <v>960</v>
          </cell>
          <cell r="M34">
            <v>1051</v>
          </cell>
          <cell r="N34">
            <v>918</v>
          </cell>
          <cell r="O34">
            <v>803</v>
          </cell>
          <cell r="P34">
            <v>0</v>
          </cell>
          <cell r="Q34">
            <v>0</v>
          </cell>
          <cell r="R34">
            <v>0</v>
          </cell>
          <cell r="S34">
            <v>1064</v>
          </cell>
          <cell r="T34">
            <v>1008</v>
          </cell>
          <cell r="U34">
            <v>1003</v>
          </cell>
          <cell r="V34">
            <v>817</v>
          </cell>
          <cell r="W34">
            <v>0</v>
          </cell>
          <cell r="X34">
            <v>734</v>
          </cell>
          <cell r="Y34">
            <v>725</v>
          </cell>
          <cell r="Z34">
            <v>552</v>
          </cell>
          <cell r="AA34">
            <v>0</v>
          </cell>
          <cell r="AB34">
            <v>1007</v>
          </cell>
          <cell r="AC34">
            <v>712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13048</v>
          </cell>
          <cell r="AJ34">
            <v>15</v>
          </cell>
        </row>
        <row r="35">
          <cell r="B35" t="str">
            <v>Mr. RAJAKUMAR BADIGER</v>
          </cell>
          <cell r="C35">
            <v>102143026061</v>
          </cell>
          <cell r="D35">
            <v>0</v>
          </cell>
          <cell r="E35">
            <v>817</v>
          </cell>
          <cell r="F35">
            <v>823</v>
          </cell>
          <cell r="G35">
            <v>901</v>
          </cell>
          <cell r="H35">
            <v>955</v>
          </cell>
          <cell r="I35">
            <v>1008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1064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734</v>
          </cell>
          <cell r="Y35">
            <v>1158</v>
          </cell>
          <cell r="Z35">
            <v>0</v>
          </cell>
          <cell r="AA35">
            <v>704</v>
          </cell>
          <cell r="AB35">
            <v>0</v>
          </cell>
          <cell r="AC35">
            <v>712</v>
          </cell>
          <cell r="AD35">
            <v>0</v>
          </cell>
          <cell r="AE35">
            <v>635</v>
          </cell>
          <cell r="AF35">
            <v>641</v>
          </cell>
          <cell r="AG35">
            <v>0</v>
          </cell>
          <cell r="AH35">
            <v>0</v>
          </cell>
          <cell r="AI35">
            <v>10152</v>
          </cell>
          <cell r="AJ35">
            <v>13</v>
          </cell>
        </row>
        <row r="36">
          <cell r="B36" t="str">
            <v>DATTA LAMTURE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500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500</v>
          </cell>
          <cell r="AJ36">
            <v>1</v>
          </cell>
        </row>
        <row r="37">
          <cell r="B37" t="str">
            <v>Mr. ABHIJIT PIRAPPA WAGHMARE</v>
          </cell>
          <cell r="C37">
            <v>101447270865</v>
          </cell>
          <cell r="D37">
            <v>0</v>
          </cell>
          <cell r="E37">
            <v>0</v>
          </cell>
          <cell r="F37">
            <v>300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886</v>
          </cell>
          <cell r="L37">
            <v>960</v>
          </cell>
          <cell r="M37">
            <v>0</v>
          </cell>
          <cell r="N37">
            <v>918</v>
          </cell>
          <cell r="O37">
            <v>803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903</v>
          </cell>
          <cell r="X37">
            <v>734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5504</v>
          </cell>
          <cell r="AJ37">
            <v>7</v>
          </cell>
        </row>
        <row r="38">
          <cell r="B38" t="str">
            <v>SIDHARAM DOMBE</v>
          </cell>
          <cell r="C38">
            <v>0</v>
          </cell>
          <cell r="D38">
            <v>0</v>
          </cell>
          <cell r="E38">
            <v>550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500</v>
          </cell>
          <cell r="AI38">
            <v>1050</v>
          </cell>
          <cell r="AJ38">
            <v>2</v>
          </cell>
        </row>
        <row r="39">
          <cell r="B39" t="str">
            <v>Mr. ANIL KUMAR RAWAT</v>
          </cell>
          <cell r="C39">
            <v>101241926666</v>
          </cell>
          <cell r="D39">
            <v>0</v>
          </cell>
          <cell r="E39">
            <v>0</v>
          </cell>
          <cell r="F39">
            <v>0</v>
          </cell>
          <cell r="G39">
            <v>901</v>
          </cell>
          <cell r="H39">
            <v>955</v>
          </cell>
          <cell r="I39">
            <v>1008</v>
          </cell>
          <cell r="J39">
            <v>0</v>
          </cell>
          <cell r="K39">
            <v>0</v>
          </cell>
          <cell r="L39">
            <v>0</v>
          </cell>
          <cell r="M39">
            <v>1051</v>
          </cell>
          <cell r="N39">
            <v>918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1064</v>
          </cell>
          <cell r="T39">
            <v>1008</v>
          </cell>
          <cell r="U39">
            <v>1003</v>
          </cell>
          <cell r="V39">
            <v>817</v>
          </cell>
          <cell r="W39">
            <v>903</v>
          </cell>
          <cell r="X39">
            <v>0</v>
          </cell>
          <cell r="Y39">
            <v>725</v>
          </cell>
          <cell r="Z39">
            <v>928</v>
          </cell>
          <cell r="AA39">
            <v>704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641</v>
          </cell>
          <cell r="AG39">
            <v>561</v>
          </cell>
          <cell r="AH39">
            <v>595</v>
          </cell>
          <cell r="AI39">
            <v>13782</v>
          </cell>
          <cell r="AJ39">
            <v>16</v>
          </cell>
        </row>
        <row r="40">
          <cell r="B40" t="str">
            <v>SAMADHAN MANE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500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500</v>
          </cell>
          <cell r="AJ40">
            <v>1</v>
          </cell>
        </row>
        <row r="41">
          <cell r="B41" t="str">
            <v>Sagar koli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928</v>
          </cell>
          <cell r="AA41">
            <v>645</v>
          </cell>
          <cell r="AB41">
            <v>1007</v>
          </cell>
          <cell r="AC41">
            <v>712</v>
          </cell>
          <cell r="AD41">
            <v>0</v>
          </cell>
          <cell r="AE41">
            <v>635</v>
          </cell>
          <cell r="AF41">
            <v>641</v>
          </cell>
          <cell r="AG41">
            <v>561</v>
          </cell>
          <cell r="AH41">
            <v>595</v>
          </cell>
          <cell r="AI41">
            <v>5724</v>
          </cell>
          <cell r="AJ41">
            <v>8</v>
          </cell>
        </row>
        <row r="42">
          <cell r="B42" t="str">
            <v>Mr. RAJSHEKHAR ANDODGI</v>
          </cell>
          <cell r="C42">
            <v>101591620448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886</v>
          </cell>
          <cell r="L42">
            <v>960</v>
          </cell>
          <cell r="M42">
            <v>1051</v>
          </cell>
          <cell r="N42">
            <v>918</v>
          </cell>
          <cell r="O42">
            <v>803</v>
          </cell>
          <cell r="P42">
            <v>0</v>
          </cell>
          <cell r="Q42">
            <v>0</v>
          </cell>
          <cell r="R42">
            <v>1002</v>
          </cell>
          <cell r="S42">
            <v>1064</v>
          </cell>
          <cell r="T42">
            <v>1008</v>
          </cell>
          <cell r="U42">
            <v>1003</v>
          </cell>
          <cell r="V42">
            <v>817</v>
          </cell>
          <cell r="W42">
            <v>0</v>
          </cell>
          <cell r="X42">
            <v>0</v>
          </cell>
          <cell r="Y42">
            <v>0</v>
          </cell>
          <cell r="Z42">
            <v>928</v>
          </cell>
          <cell r="AA42">
            <v>704</v>
          </cell>
          <cell r="AB42">
            <v>1007</v>
          </cell>
          <cell r="AC42">
            <v>712</v>
          </cell>
          <cell r="AD42">
            <v>0</v>
          </cell>
          <cell r="AE42">
            <v>635</v>
          </cell>
          <cell r="AF42">
            <v>641</v>
          </cell>
          <cell r="AG42">
            <v>561</v>
          </cell>
          <cell r="AH42">
            <v>0</v>
          </cell>
          <cell r="AI42">
            <v>14700</v>
          </cell>
          <cell r="AJ42">
            <v>17</v>
          </cell>
        </row>
        <row r="43">
          <cell r="B43" t="str">
            <v>Mr. PRABHAKAR BIRAPPA NAYKUDE</v>
          </cell>
          <cell r="C43">
            <v>101805790352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801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903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1704</v>
          </cell>
          <cell r="AJ43">
            <v>2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13820</v>
          </cell>
          <cell r="F44">
            <v>19961</v>
          </cell>
          <cell r="G44">
            <v>21677</v>
          </cell>
          <cell r="H44">
            <v>23005</v>
          </cell>
          <cell r="I44">
            <v>7056</v>
          </cell>
          <cell r="J44">
            <v>22386</v>
          </cell>
          <cell r="K44">
            <v>23892</v>
          </cell>
          <cell r="L44">
            <v>24938</v>
          </cell>
          <cell r="M44">
            <v>26285</v>
          </cell>
          <cell r="N44">
            <v>24535</v>
          </cell>
          <cell r="O44">
            <v>20450</v>
          </cell>
          <cell r="P44">
            <v>0</v>
          </cell>
          <cell r="Q44">
            <v>20681</v>
          </cell>
          <cell r="R44">
            <v>26208</v>
          </cell>
          <cell r="S44">
            <v>27012</v>
          </cell>
          <cell r="T44">
            <v>30355</v>
          </cell>
          <cell r="U44">
            <v>26144</v>
          </cell>
          <cell r="V44">
            <v>25752</v>
          </cell>
          <cell r="W44">
            <v>6871</v>
          </cell>
          <cell r="X44">
            <v>21310</v>
          </cell>
          <cell r="Y44">
            <v>17897</v>
          </cell>
          <cell r="Z44">
            <v>26281</v>
          </cell>
          <cell r="AA44">
            <v>24008</v>
          </cell>
          <cell r="AB44">
            <v>20370</v>
          </cell>
          <cell r="AC44">
            <v>17798</v>
          </cell>
          <cell r="AD44">
            <v>6179</v>
          </cell>
          <cell r="AE44">
            <v>19734</v>
          </cell>
          <cell r="AF44">
            <v>22952</v>
          </cell>
          <cell r="AG44">
            <v>18672</v>
          </cell>
          <cell r="AH44">
            <v>20906</v>
          </cell>
          <cell r="AI44">
            <v>607135</v>
          </cell>
          <cell r="AJ44">
            <v>695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</row>
        <row r="60"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</row>
        <row r="63"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</row>
        <row r="64"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</row>
        <row r="72"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</row>
        <row r="73"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</row>
        <row r="77"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</row>
        <row r="80"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</row>
        <row r="81"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</row>
        <row r="82"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</row>
        <row r="83"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</row>
        <row r="84"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</row>
        <row r="86"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</row>
        <row r="88"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</row>
        <row r="89"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</row>
        <row r="91"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</row>
        <row r="92"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</row>
        <row r="95"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</row>
        <row r="96"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</row>
        <row r="97"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</row>
        <row r="98"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</row>
        <row r="99"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</row>
        <row r="101"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</row>
        <row r="103"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</row>
        <row r="104"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</row>
        <row r="105"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</row>
        <row r="106"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</row>
        <row r="107"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</row>
        <row r="108"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</row>
        <row r="109"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</row>
        <row r="110"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</row>
        <row r="111"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</row>
        <row r="112"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</row>
        <row r="113"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</row>
        <row r="114"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</row>
        <row r="117"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</row>
        <row r="118"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</row>
        <row r="119"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</row>
        <row r="120"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</row>
        <row r="121"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</row>
        <row r="122"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</row>
        <row r="125"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</row>
        <row r="126"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</row>
        <row r="127"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</row>
        <row r="128"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</row>
        <row r="130"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</row>
        <row r="131"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</row>
        <row r="132"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</row>
        <row r="133"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</row>
        <row r="134"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</row>
        <row r="135"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</row>
        <row r="136"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</row>
        <row r="137"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</row>
        <row r="138"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</row>
        <row r="141"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</row>
        <row r="142"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</row>
        <row r="143"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</row>
        <row r="144"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</row>
        <row r="145"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</row>
        <row r="147"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</row>
        <row r="150"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</row>
        <row r="151"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</row>
        <row r="153"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</row>
        <row r="154"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</row>
        <row r="155"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</row>
        <row r="156"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</row>
        <row r="157"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</row>
        <row r="158"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</row>
        <row r="159"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</row>
        <row r="160"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</row>
        <row r="161"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</row>
        <row r="164"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</row>
        <row r="165"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</row>
        <row r="166"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</row>
        <row r="167"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</row>
        <row r="168"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</row>
        <row r="169"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</row>
        <row r="170"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</row>
        <row r="171"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</row>
        <row r="172"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</row>
        <row r="173"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</row>
        <row r="174"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</row>
        <row r="175"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</row>
        <row r="176"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</row>
        <row r="177"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</row>
        <row r="178"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</row>
        <row r="179"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</row>
        <row r="180"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</row>
        <row r="181"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</row>
        <row r="182"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</row>
        <row r="183"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</row>
        <row r="184"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</row>
        <row r="185"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</row>
        <row r="186"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</row>
        <row r="187"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</row>
        <row r="188"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</row>
        <row r="189"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</row>
        <row r="190"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</row>
        <row r="191"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</row>
        <row r="192"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</row>
        <row r="193"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</row>
        <row r="194"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</row>
        <row r="195"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</row>
        <row r="196"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</row>
        <row r="197"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</row>
        <row r="198"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</row>
        <row r="199"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</row>
        <row r="200"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</row>
        <row r="201"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</row>
        <row r="202"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</row>
        <row r="203"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</row>
        <row r="204"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</row>
        <row r="205"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</row>
        <row r="206"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</row>
        <row r="207"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</row>
        <row r="208"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</row>
        <row r="209"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</row>
        <row r="210"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</row>
        <row r="211"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</row>
        <row r="212"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</row>
        <row r="213"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</row>
        <row r="214"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</row>
        <row r="215"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</row>
        <row r="216"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</row>
        <row r="217"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</row>
        <row r="218"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</row>
        <row r="219"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</row>
        <row r="220"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</row>
        <row r="221"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</row>
        <row r="222"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</row>
        <row r="223"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</row>
        <row r="224"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</row>
        <row r="225"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</row>
        <row r="226"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</row>
        <row r="227"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</row>
        <row r="228"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</row>
        <row r="229"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</row>
        <row r="230"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</row>
        <row r="231"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</row>
        <row r="232"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</row>
        <row r="233"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</row>
        <row r="234"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</row>
        <row r="236"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</row>
        <row r="237"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</row>
        <row r="238"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</row>
        <row r="239"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</row>
        <row r="240"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</row>
        <row r="241"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</row>
        <row r="242"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</row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</row>
        <row r="244"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</row>
        <row r="245"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</row>
        <row r="246"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</row>
        <row r="247"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</row>
        <row r="248"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</row>
        <row r="249"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</row>
        <row r="250"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</row>
        <row r="252"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</row>
        <row r="253"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</row>
        <row r="254"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</row>
        <row r="255"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</row>
        <row r="256"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</row>
        <row r="257"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</row>
        <row r="259"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</row>
        <row r="260"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</row>
        <row r="261"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</row>
        <row r="262"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</row>
        <row r="263"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</row>
        <row r="265"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</row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</row>
        <row r="268"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</row>
        <row r="269"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</row>
        <row r="270"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</row>
        <row r="271"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</row>
        <row r="272"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</row>
        <row r="273"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</row>
        <row r="274"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</row>
        <row r="276"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</row>
        <row r="277"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</row>
        <row r="278"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</row>
        <row r="279"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</row>
        <row r="280"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</row>
        <row r="281"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</row>
        <row r="282"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</row>
        <row r="283"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</row>
        <row r="285"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</row>
        <row r="286"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</row>
        <row r="287"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</row>
        <row r="288"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</row>
        <row r="289"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</row>
        <row r="291"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</row>
        <row r="292"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</row>
        <row r="293"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</row>
        <row r="294"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</row>
        <row r="295"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</row>
        <row r="296"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</row>
        <row r="297"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</row>
        <row r="298"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</row>
        <row r="299"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</row>
        <row r="300"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</row>
        <row r="301"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</row>
        <row r="302"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</row>
        <row r="303"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</row>
        <row r="304"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</row>
        <row r="305"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</row>
        <row r="306"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</row>
        <row r="307"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</row>
        <row r="308"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</row>
        <row r="309"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</row>
        <row r="310"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</row>
        <row r="311"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</row>
        <row r="312"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</row>
        <row r="313"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</row>
        <row r="314"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</row>
        <row r="315"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</row>
        <row r="316"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</row>
        <row r="317"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</row>
        <row r="318"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</row>
        <row r="319"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</row>
        <row r="320"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</row>
        <row r="321"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</row>
        <row r="322"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</row>
        <row r="323"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</row>
        <row r="324"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</row>
        <row r="325"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</row>
        <row r="326"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</row>
        <row r="327"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</row>
        <row r="328"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</row>
        <row r="329"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</row>
        <row r="330"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</row>
        <row r="331"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</row>
        <row r="332"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</row>
        <row r="333"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</row>
        <row r="334"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</row>
        <row r="335"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</row>
        <row r="336"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</row>
        <row r="337"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</row>
        <row r="338"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</row>
        <row r="339"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</row>
        <row r="340"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</row>
        <row r="341"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</row>
        <row r="342"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</row>
        <row r="343"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</row>
        <row r="344"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</row>
        <row r="345"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</row>
        <row r="346"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</row>
        <row r="347"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</row>
        <row r="348"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</row>
        <row r="349"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</row>
        <row r="350"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</row>
        <row r="351"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</row>
        <row r="352"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</row>
        <row r="353"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</row>
        <row r="354"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</row>
        <row r="355"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</row>
        <row r="356"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</row>
        <row r="357"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</row>
        <row r="358"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</row>
        <row r="359"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</row>
        <row r="360"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</row>
        <row r="361"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</row>
        <row r="362"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</row>
        <row r="363"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</row>
        <row r="364"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</row>
        <row r="365"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</row>
        <row r="366"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</row>
        <row r="367"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</row>
        <row r="368"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</row>
        <row r="369"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</row>
        <row r="370"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</row>
        <row r="371"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</row>
        <row r="372"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</row>
        <row r="373"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</row>
        <row r="374"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</row>
        <row r="375"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</row>
        <row r="376"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</row>
        <row r="377"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</row>
        <row r="378"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</row>
        <row r="379"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</row>
        <row r="380"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</row>
        <row r="381"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</row>
        <row r="382"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</row>
        <row r="383"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</row>
        <row r="384"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</row>
        <row r="385"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</row>
        <row r="386"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</row>
        <row r="387"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</row>
        <row r="388"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</row>
        <row r="389"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</row>
        <row r="390"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</row>
        <row r="391"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</row>
        <row r="392"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</row>
        <row r="393"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</row>
        <row r="394"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</row>
        <row r="395"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</row>
        <row r="396"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</row>
        <row r="397"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</row>
        <row r="398"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</row>
        <row r="399"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</row>
        <row r="400"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</row>
        <row r="401"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</row>
        <row r="402"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</row>
        <row r="403"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</row>
        <row r="404"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</row>
        <row r="405"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</row>
        <row r="406"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</row>
        <row r="407"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</row>
        <row r="408"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</row>
        <row r="409"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</row>
        <row r="410"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</row>
        <row r="411"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</row>
        <row r="412"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</row>
        <row r="413"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</row>
        <row r="414"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</row>
        <row r="415"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</row>
        <row r="416"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</row>
        <row r="417"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</row>
        <row r="418"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</row>
        <row r="419"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</row>
        <row r="420"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</row>
        <row r="421"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</row>
        <row r="422"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</row>
        <row r="423"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</row>
        <row r="424"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</row>
        <row r="425"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</row>
        <row r="426"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</row>
        <row r="427"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</row>
        <row r="428"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</row>
        <row r="429"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</row>
        <row r="430"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</row>
        <row r="431"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</row>
        <row r="432"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</row>
        <row r="433"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</row>
        <row r="434"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</row>
        <row r="435"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</row>
        <row r="436"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</row>
        <row r="437"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</row>
        <row r="438"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</row>
        <row r="439"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</row>
        <row r="440"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</row>
        <row r="441"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</row>
        <row r="442"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</row>
        <row r="443"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</row>
        <row r="444"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</row>
        <row r="445"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</row>
        <row r="446"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</row>
        <row r="447"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</row>
        <row r="448"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</row>
        <row r="449"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</row>
        <row r="450"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</row>
        <row r="451"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</row>
        <row r="452"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</row>
        <row r="453"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</row>
        <row r="454"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</row>
        <row r="455"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</row>
        <row r="456"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</row>
        <row r="457"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</row>
        <row r="458"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</row>
        <row r="459"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</row>
        <row r="460"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</row>
        <row r="461"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</row>
        <row r="462"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</row>
        <row r="463"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</row>
        <row r="464"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</row>
        <row r="465"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</row>
        <row r="466"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</row>
        <row r="467"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</row>
        <row r="468"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</row>
        <row r="469"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</row>
        <row r="470"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</row>
        <row r="471"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</row>
        <row r="472"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</row>
        <row r="473"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</row>
        <row r="474"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</row>
        <row r="475"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</row>
        <row r="476"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</row>
        <row r="477"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</row>
        <row r="478"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</row>
        <row r="479"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</row>
        <row r="480"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</row>
        <row r="481"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</row>
        <row r="482"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</row>
        <row r="483"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</row>
        <row r="484"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</row>
        <row r="485"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</row>
        <row r="486"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</row>
        <row r="487"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</row>
        <row r="488"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</row>
        <row r="489"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</row>
        <row r="490"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</row>
        <row r="491"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</row>
        <row r="492"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</row>
        <row r="493"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</row>
        <row r="494"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</row>
        <row r="495"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</row>
        <row r="496"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</row>
        <row r="497"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</row>
        <row r="498"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</row>
        <row r="499"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</row>
        <row r="500"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</row>
        <row r="501"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</row>
        <row r="502"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</row>
        <row r="503"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</row>
        <row r="504"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</row>
        <row r="505"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</row>
        <row r="506"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</row>
        <row r="507"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</row>
        <row r="508"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</row>
        <row r="509"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</row>
        <row r="510"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</row>
        <row r="511"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</row>
        <row r="512"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</row>
        <row r="513"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</row>
        <row r="514"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</row>
        <row r="515"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</row>
        <row r="516"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</row>
        <row r="517"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</row>
        <row r="518"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</row>
        <row r="519"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</row>
        <row r="520"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</row>
        <row r="521"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</row>
        <row r="522"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</row>
        <row r="523"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</row>
        <row r="524"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</row>
        <row r="525"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</row>
        <row r="526"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</row>
        <row r="527"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</row>
        <row r="528"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</row>
        <row r="529"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</row>
        <row r="530"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</row>
        <row r="531"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</row>
        <row r="532"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</row>
        <row r="533"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</row>
        <row r="534"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</row>
        <row r="535"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</row>
        <row r="536"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</row>
        <row r="537"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</row>
        <row r="538"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</row>
        <row r="539"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</row>
        <row r="540"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</row>
        <row r="541"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</row>
        <row r="542"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</row>
        <row r="543"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</row>
        <row r="544"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</row>
        <row r="545"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</row>
        <row r="546"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</row>
        <row r="547"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</row>
        <row r="548"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</row>
        <row r="549"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</row>
        <row r="550"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</row>
        <row r="551"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</row>
        <row r="552"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</row>
        <row r="553"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</row>
        <row r="554"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</row>
        <row r="555"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</row>
        <row r="556"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</row>
        <row r="557"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</row>
        <row r="558"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</row>
        <row r="559"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</row>
        <row r="560"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</row>
        <row r="561"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</row>
        <row r="562"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</row>
        <row r="563"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</row>
        <row r="564"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</row>
        <row r="565"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</row>
        <row r="566"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</row>
        <row r="567"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</row>
        <row r="568"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</row>
        <row r="569"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</row>
        <row r="570"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</row>
        <row r="571"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</row>
        <row r="572"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</row>
        <row r="573"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</row>
        <row r="574"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</row>
        <row r="575"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</row>
        <row r="576"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</row>
        <row r="577"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</row>
        <row r="578"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</row>
        <row r="579"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</row>
        <row r="580"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</row>
        <row r="581"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</row>
        <row r="582"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</row>
        <row r="583"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</row>
        <row r="584"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</row>
        <row r="585"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</row>
        <row r="586"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</row>
        <row r="587"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</row>
        <row r="588"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</row>
        <row r="589"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</row>
        <row r="590"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</row>
        <row r="591"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</row>
        <row r="592"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</row>
        <row r="593"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</row>
        <row r="594"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</row>
        <row r="595"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</row>
        <row r="596"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</row>
        <row r="597"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</row>
        <row r="598"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</row>
        <row r="599"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</row>
        <row r="600"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</row>
        <row r="601"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</row>
        <row r="602"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</row>
        <row r="603"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</row>
        <row r="604"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</row>
        <row r="605"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</row>
        <row r="606"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</row>
        <row r="607"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</row>
        <row r="608"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</row>
        <row r="609"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</row>
        <row r="610"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</row>
        <row r="611"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</row>
        <row r="612"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</row>
        <row r="613"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</row>
        <row r="614"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</row>
        <row r="615"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</row>
        <row r="616"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</row>
        <row r="617"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</row>
        <row r="618"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</row>
        <row r="619"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</row>
        <row r="620"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</row>
        <row r="621"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</row>
        <row r="622"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</row>
        <row r="623"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</row>
        <row r="624"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</row>
        <row r="625"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</row>
        <row r="626"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</row>
        <row r="627"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</row>
        <row r="628"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</row>
        <row r="629"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</row>
        <row r="630"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</row>
        <row r="631"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</row>
        <row r="632"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</row>
        <row r="633"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</row>
        <row r="634"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</row>
        <row r="635"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</row>
        <row r="636"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</row>
        <row r="637"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</row>
        <row r="638"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</row>
        <row r="639"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</row>
        <row r="640"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</row>
        <row r="641"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</row>
        <row r="642"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</row>
        <row r="643"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</row>
        <row r="644"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</row>
        <row r="645"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</row>
        <row r="646"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</row>
        <row r="647"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</row>
        <row r="648"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</row>
        <row r="649"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</row>
        <row r="650"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</row>
        <row r="651"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</row>
        <row r="652"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</row>
        <row r="653"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</row>
        <row r="654"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</row>
        <row r="655"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</row>
        <row r="656"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</row>
        <row r="657"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</row>
        <row r="658"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</row>
        <row r="659"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</row>
        <row r="660"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</row>
        <row r="661"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</row>
        <row r="662"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</row>
        <row r="663"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</row>
        <row r="664"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</row>
        <row r="665"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</row>
        <row r="666"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</row>
        <row r="667"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</row>
        <row r="668"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</row>
        <row r="669"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</row>
        <row r="670"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</row>
        <row r="671"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</row>
        <row r="672"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</row>
        <row r="673"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</row>
        <row r="674"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</row>
        <row r="675"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</row>
        <row r="676"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</row>
        <row r="677"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</row>
        <row r="678"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</row>
        <row r="679"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</row>
        <row r="680"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</row>
        <row r="681"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</row>
        <row r="682"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</row>
        <row r="683"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</row>
        <row r="684"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</row>
        <row r="685"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</row>
        <row r="686"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</row>
        <row r="687"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</row>
        <row r="688"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</row>
        <row r="689"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</row>
        <row r="690"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</row>
        <row r="691"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</row>
        <row r="692"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</row>
        <row r="693"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</row>
        <row r="694"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</row>
        <row r="695"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</row>
        <row r="696"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</row>
        <row r="697"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</row>
        <row r="698"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</row>
        <row r="699"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</row>
        <row r="700"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</row>
        <row r="701"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</row>
        <row r="702"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</row>
        <row r="703"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</row>
        <row r="704"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</row>
        <row r="705"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</row>
        <row r="706"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</row>
        <row r="707"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</row>
        <row r="708"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</row>
        <row r="709"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</row>
        <row r="710"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</row>
        <row r="711"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</row>
        <row r="712"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</row>
        <row r="713"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</row>
        <row r="714"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</row>
        <row r="715"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</row>
        <row r="716"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</row>
        <row r="717"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</row>
        <row r="718"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</row>
        <row r="719"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</row>
        <row r="720"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</row>
        <row r="721"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</row>
        <row r="722"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</row>
        <row r="723"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</row>
        <row r="724"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</row>
        <row r="725"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</row>
        <row r="726"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</row>
        <row r="727"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</row>
        <row r="728"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</row>
        <row r="729"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</row>
        <row r="730"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</row>
        <row r="731"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</row>
        <row r="732"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</row>
        <row r="733"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</row>
        <row r="734"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</row>
        <row r="735"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</row>
        <row r="736"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</row>
        <row r="737"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</row>
        <row r="738"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</row>
        <row r="739"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</row>
        <row r="740"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</row>
        <row r="741"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</row>
        <row r="742"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</row>
        <row r="743"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</row>
        <row r="744"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</row>
        <row r="745"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</row>
        <row r="746"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</row>
        <row r="747"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</row>
        <row r="748"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</row>
        <row r="749"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</row>
        <row r="750"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</row>
        <row r="751"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</row>
        <row r="752"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</row>
        <row r="753"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</row>
        <row r="754"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</row>
        <row r="755"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</row>
        <row r="756"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</row>
        <row r="757"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</row>
        <row r="758"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</row>
        <row r="759"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</row>
        <row r="760"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</row>
        <row r="761"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</row>
        <row r="762"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</row>
        <row r="763"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</row>
        <row r="764"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</row>
        <row r="765"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</row>
        <row r="766"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</row>
        <row r="767"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</row>
        <row r="768"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</row>
        <row r="769"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</row>
        <row r="770"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</row>
        <row r="771"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</row>
        <row r="772"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</row>
        <row r="773"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</row>
        <row r="774"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</row>
        <row r="775"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</row>
        <row r="776"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</row>
        <row r="777"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</row>
        <row r="778"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</row>
        <row r="779"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</row>
        <row r="780"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</row>
        <row r="781"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</row>
        <row r="782"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</row>
        <row r="783"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</row>
        <row r="784"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</row>
        <row r="785"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</row>
        <row r="786"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</row>
        <row r="787"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</row>
        <row r="788"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</row>
        <row r="789"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</row>
        <row r="790"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</row>
        <row r="791"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</row>
        <row r="792"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</row>
        <row r="793"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</row>
        <row r="794"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</row>
        <row r="795"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</row>
        <row r="796"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</row>
        <row r="797"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</row>
        <row r="798"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</row>
        <row r="799"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</row>
        <row r="800"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</row>
        <row r="801"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</row>
        <row r="802"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</row>
        <row r="803"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</row>
        <row r="804"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</row>
        <row r="805"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</row>
        <row r="806"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</row>
        <row r="807"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</row>
        <row r="808"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</row>
        <row r="809"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</row>
        <row r="817"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</row>
        <row r="818"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</row>
        <row r="819"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</row>
        <row r="820"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</row>
        <row r="821"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</row>
        <row r="822"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</row>
        <row r="823"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</row>
        <row r="824"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</row>
        <row r="825"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</row>
        <row r="826"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</row>
        <row r="827"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</row>
        <row r="828"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</row>
        <row r="829"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</row>
        <row r="830"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</row>
        <row r="831"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</row>
        <row r="832"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</row>
        <row r="833"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</row>
        <row r="834"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</row>
        <row r="835"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</row>
        <row r="836"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</row>
        <row r="837"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</row>
        <row r="838"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</row>
        <row r="839"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</row>
        <row r="840"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</row>
        <row r="841"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</row>
        <row r="842"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</row>
        <row r="843"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</row>
        <row r="844"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</row>
        <row r="845"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</row>
        <row r="846"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</row>
        <row r="847"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</row>
        <row r="848"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</row>
        <row r="849"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</row>
        <row r="850"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</row>
        <row r="851"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</row>
        <row r="852"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</row>
        <row r="853"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</row>
        <row r="854"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</row>
        <row r="855"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</row>
        <row r="856"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</row>
        <row r="857"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</row>
        <row r="858"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</row>
        <row r="859"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</row>
        <row r="860"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</row>
        <row r="861"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</row>
        <row r="862"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</row>
        <row r="863"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</row>
        <row r="864"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</row>
        <row r="865"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</row>
        <row r="866"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</row>
        <row r="867"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</row>
        <row r="868"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</row>
        <row r="869"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</row>
        <row r="870"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</row>
        <row r="871"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</row>
        <row r="872"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</row>
        <row r="873"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</row>
        <row r="874"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</row>
        <row r="875"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</row>
        <row r="876"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</row>
        <row r="877"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</row>
        <row r="878"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</row>
        <row r="879"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</row>
        <row r="880"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</row>
        <row r="881"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</row>
        <row r="882"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</row>
        <row r="883"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</row>
        <row r="884"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</row>
        <row r="885"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</row>
        <row r="886"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</row>
        <row r="887"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</row>
        <row r="888"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</row>
        <row r="889"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</row>
        <row r="890"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</row>
        <row r="891"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</row>
        <row r="892"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</row>
        <row r="893"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</row>
        <row r="894"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</row>
        <row r="895"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</row>
        <row r="896"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</row>
        <row r="897"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</row>
        <row r="898"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</row>
        <row r="899"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</row>
        <row r="900"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</row>
        <row r="901"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</row>
        <row r="902"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</row>
        <row r="903"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</row>
        <row r="904"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</row>
        <row r="905"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</row>
        <row r="906"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</row>
        <row r="907"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</row>
        <row r="908"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</row>
        <row r="909"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</row>
        <row r="910"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</row>
        <row r="911"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</row>
        <row r="912"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</row>
        <row r="913"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</row>
        <row r="914"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</row>
        <row r="915"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</row>
        <row r="916"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</row>
        <row r="917"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</row>
      </sheetData>
      <sheetData sheetId="3"/>
      <sheetData sheetId="4"/>
      <sheetData sheetId="5">
        <row r="1">
          <cell r="F1" t="str">
            <v>Emp Name</v>
          </cell>
          <cell r="G1">
            <v>0</v>
          </cell>
          <cell r="H1">
            <v>1</v>
          </cell>
          <cell r="I1">
            <v>2</v>
          </cell>
          <cell r="J1">
            <v>3</v>
          </cell>
          <cell r="K1">
            <v>4</v>
          </cell>
          <cell r="L1">
            <v>5</v>
          </cell>
          <cell r="M1">
            <v>6</v>
          </cell>
          <cell r="N1">
            <v>7</v>
          </cell>
          <cell r="O1">
            <v>8</v>
          </cell>
          <cell r="P1">
            <v>9</v>
          </cell>
          <cell r="Q1">
            <v>10</v>
          </cell>
          <cell r="R1">
            <v>11</v>
          </cell>
          <cell r="S1">
            <v>12</v>
          </cell>
          <cell r="T1">
            <v>13</v>
          </cell>
          <cell r="U1">
            <v>14</v>
          </cell>
          <cell r="V1">
            <v>15</v>
          </cell>
          <cell r="W1">
            <v>16</v>
          </cell>
          <cell r="X1">
            <v>17</v>
          </cell>
          <cell r="Y1">
            <v>18</v>
          </cell>
          <cell r="Z1">
            <v>19</v>
          </cell>
          <cell r="AA1">
            <v>20</v>
          </cell>
          <cell r="AB1">
            <v>21</v>
          </cell>
          <cell r="AC1">
            <v>22</v>
          </cell>
          <cell r="AD1">
            <v>23</v>
          </cell>
          <cell r="AE1">
            <v>24</v>
          </cell>
          <cell r="AF1">
            <v>25</v>
          </cell>
          <cell r="AG1">
            <v>26</v>
          </cell>
          <cell r="AH1">
            <v>27</v>
          </cell>
          <cell r="AI1">
            <v>28</v>
          </cell>
          <cell r="AJ1">
            <v>29</v>
          </cell>
          <cell r="AK1">
            <v>30</v>
          </cell>
          <cell r="AL1">
            <v>31</v>
          </cell>
          <cell r="AM1" t="str">
            <v>Total</v>
          </cell>
        </row>
        <row r="2">
          <cell r="F2" t="str">
            <v xml:space="preserve">SANTOSH LAXMAN KOLI </v>
          </cell>
          <cell r="G2" t="str">
            <v xml:space="preserve">AVG- </v>
          </cell>
          <cell r="H2">
            <v>0</v>
          </cell>
          <cell r="I2">
            <v>1</v>
          </cell>
          <cell r="J2">
            <v>1</v>
          </cell>
          <cell r="K2">
            <v>1</v>
          </cell>
          <cell r="L2">
            <v>1</v>
          </cell>
          <cell r="M2">
            <v>1</v>
          </cell>
          <cell r="N2">
            <v>1</v>
          </cell>
          <cell r="O2">
            <v>1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1</v>
          </cell>
          <cell r="V2">
            <v>1</v>
          </cell>
          <cell r="W2">
            <v>1</v>
          </cell>
          <cell r="X2">
            <v>1</v>
          </cell>
          <cell r="Y2">
            <v>1.5</v>
          </cell>
          <cell r="Z2">
            <v>1</v>
          </cell>
          <cell r="AA2">
            <v>1</v>
          </cell>
          <cell r="AB2">
            <v>2</v>
          </cell>
          <cell r="AC2">
            <v>1</v>
          </cell>
          <cell r="AD2">
            <v>1</v>
          </cell>
          <cell r="AE2">
            <v>2</v>
          </cell>
          <cell r="AF2">
            <v>2</v>
          </cell>
          <cell r="AG2">
            <v>2</v>
          </cell>
          <cell r="AH2">
            <v>1</v>
          </cell>
          <cell r="AI2">
            <v>1</v>
          </cell>
          <cell r="AJ2">
            <v>1</v>
          </cell>
          <cell r="AK2">
            <v>1</v>
          </cell>
          <cell r="AL2">
            <v>2</v>
          </cell>
          <cell r="AM2">
            <v>30.5</v>
          </cell>
          <cell r="AN2">
            <v>0</v>
          </cell>
        </row>
        <row r="3">
          <cell r="F3" t="str">
            <v xml:space="preserve">VIJAY VISHNU MANE </v>
          </cell>
          <cell r="G3" t="str">
            <v xml:space="preserve">AVG- </v>
          </cell>
          <cell r="H3">
            <v>0</v>
          </cell>
          <cell r="I3">
            <v>1</v>
          </cell>
          <cell r="J3">
            <v>1</v>
          </cell>
          <cell r="K3">
            <v>1</v>
          </cell>
          <cell r="L3">
            <v>1</v>
          </cell>
          <cell r="M3">
            <v>0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0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0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0</v>
          </cell>
          <cell r="AI3">
            <v>1</v>
          </cell>
          <cell r="AJ3">
            <v>0</v>
          </cell>
          <cell r="AK3">
            <v>0</v>
          </cell>
          <cell r="AL3">
            <v>1</v>
          </cell>
          <cell r="AM3">
            <v>24</v>
          </cell>
          <cell r="AN3">
            <v>0</v>
          </cell>
        </row>
        <row r="4">
          <cell r="F4" t="str">
            <v>MAHESH BABUSHA LANDAGE</v>
          </cell>
          <cell r="G4" t="str">
            <v xml:space="preserve">AVG- </v>
          </cell>
          <cell r="H4">
            <v>1</v>
          </cell>
          <cell r="I4">
            <v>1</v>
          </cell>
          <cell r="J4">
            <v>1</v>
          </cell>
          <cell r="K4">
            <v>1</v>
          </cell>
          <cell r="L4">
            <v>1</v>
          </cell>
          <cell r="M4">
            <v>1</v>
          </cell>
          <cell r="N4">
            <v>1</v>
          </cell>
          <cell r="O4">
            <v>1</v>
          </cell>
          <cell r="P4">
            <v>0</v>
          </cell>
          <cell r="Q4">
            <v>1</v>
          </cell>
          <cell r="R4">
            <v>1</v>
          </cell>
          <cell r="S4">
            <v>1</v>
          </cell>
          <cell r="T4">
            <v>1</v>
          </cell>
          <cell r="U4">
            <v>1</v>
          </cell>
          <cell r="V4">
            <v>1</v>
          </cell>
          <cell r="W4">
            <v>1</v>
          </cell>
          <cell r="X4">
            <v>1</v>
          </cell>
          <cell r="Y4">
            <v>1</v>
          </cell>
          <cell r="Z4">
            <v>1</v>
          </cell>
          <cell r="AA4">
            <v>0</v>
          </cell>
          <cell r="AB4">
            <v>0</v>
          </cell>
          <cell r="AC4">
            <v>1</v>
          </cell>
          <cell r="AD4">
            <v>1</v>
          </cell>
          <cell r="AE4">
            <v>1</v>
          </cell>
          <cell r="AF4">
            <v>1</v>
          </cell>
          <cell r="AG4">
            <v>1</v>
          </cell>
          <cell r="AH4">
            <v>1</v>
          </cell>
          <cell r="AI4">
            <v>1</v>
          </cell>
          <cell r="AJ4">
            <v>2</v>
          </cell>
          <cell r="AK4">
            <v>0</v>
          </cell>
          <cell r="AL4">
            <v>1</v>
          </cell>
          <cell r="AM4">
            <v>28</v>
          </cell>
          <cell r="AN4">
            <v>500</v>
          </cell>
        </row>
        <row r="5">
          <cell r="F5" t="str">
            <v>SAMARTH IRRANA DHAVANE</v>
          </cell>
          <cell r="G5" t="str">
            <v xml:space="preserve">AVG- </v>
          </cell>
          <cell r="H5">
            <v>0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0</v>
          </cell>
          <cell r="N5">
            <v>1</v>
          </cell>
          <cell r="O5">
            <v>1</v>
          </cell>
          <cell r="P5">
            <v>1</v>
          </cell>
          <cell r="Q5">
            <v>1</v>
          </cell>
          <cell r="R5">
            <v>1</v>
          </cell>
          <cell r="S5">
            <v>1</v>
          </cell>
          <cell r="T5">
            <v>0</v>
          </cell>
          <cell r="U5">
            <v>1</v>
          </cell>
          <cell r="V5">
            <v>1</v>
          </cell>
          <cell r="W5">
            <v>2</v>
          </cell>
          <cell r="X5">
            <v>1</v>
          </cell>
          <cell r="Y5">
            <v>0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  <cell r="AF5">
            <v>1</v>
          </cell>
          <cell r="AG5">
            <v>1</v>
          </cell>
          <cell r="AH5">
            <v>0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  <cell r="AM5">
            <v>27</v>
          </cell>
          <cell r="AN5">
            <v>500</v>
          </cell>
        </row>
        <row r="6">
          <cell r="F6" t="str">
            <v xml:space="preserve"> VISHAL RAJKUMAR KOLI</v>
          </cell>
          <cell r="G6" t="str">
            <v xml:space="preserve">AVG- </v>
          </cell>
          <cell r="H6">
            <v>0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0</v>
          </cell>
          <cell r="N6">
            <v>1</v>
          </cell>
          <cell r="O6">
            <v>0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0</v>
          </cell>
          <cell r="U6">
            <v>1</v>
          </cell>
          <cell r="V6">
            <v>1</v>
          </cell>
          <cell r="W6">
            <v>0</v>
          </cell>
          <cell r="X6">
            <v>0</v>
          </cell>
          <cell r="Y6">
            <v>0</v>
          </cell>
          <cell r="Z6">
            <v>1</v>
          </cell>
          <cell r="AA6">
            <v>0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  <cell r="AF6">
            <v>1</v>
          </cell>
          <cell r="AG6">
            <v>1</v>
          </cell>
          <cell r="AH6">
            <v>0</v>
          </cell>
          <cell r="AI6">
            <v>1</v>
          </cell>
          <cell r="AJ6">
            <v>1</v>
          </cell>
          <cell r="AK6">
            <v>1</v>
          </cell>
          <cell r="AL6">
            <v>1</v>
          </cell>
          <cell r="AM6">
            <v>22</v>
          </cell>
          <cell r="AN6">
            <v>0</v>
          </cell>
        </row>
        <row r="7">
          <cell r="F7" t="str">
            <v>AVINASH PATANGE</v>
          </cell>
          <cell r="G7" t="str">
            <v xml:space="preserve">AVG- 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</row>
        <row r="8">
          <cell r="F8" t="str">
            <v>SAMARTH MANJUNATH SIRSAT</v>
          </cell>
          <cell r="G8" t="str">
            <v xml:space="preserve">AVG- </v>
          </cell>
          <cell r="H8">
            <v>0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0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0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0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F8">
            <v>1</v>
          </cell>
          <cell r="AG8">
            <v>1</v>
          </cell>
          <cell r="AH8">
            <v>0</v>
          </cell>
          <cell r="AI8">
            <v>1</v>
          </cell>
          <cell r="AJ8">
            <v>1</v>
          </cell>
          <cell r="AK8">
            <v>1</v>
          </cell>
          <cell r="AL8">
            <v>0</v>
          </cell>
          <cell r="AM8">
            <v>25</v>
          </cell>
          <cell r="AN8">
            <v>500</v>
          </cell>
        </row>
        <row r="9">
          <cell r="F9" t="str">
            <v>TURBE PARSHURAM MARUTI</v>
          </cell>
          <cell r="G9" t="str">
            <v xml:space="preserve">AVG- </v>
          </cell>
          <cell r="H9">
            <v>1</v>
          </cell>
          <cell r="I9">
            <v>0</v>
          </cell>
          <cell r="J9">
            <v>0</v>
          </cell>
          <cell r="K9">
            <v>1</v>
          </cell>
          <cell r="L9">
            <v>1</v>
          </cell>
          <cell r="M9">
            <v>0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0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F9">
            <v>1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K9">
            <v>1</v>
          </cell>
          <cell r="AL9">
            <v>1</v>
          </cell>
          <cell r="AM9">
            <v>27</v>
          </cell>
          <cell r="AN9">
            <v>1000</v>
          </cell>
        </row>
        <row r="10">
          <cell r="F10" t="str">
            <v>BANDENAVAJ MULLA</v>
          </cell>
          <cell r="G10" t="str">
            <v xml:space="preserve">AVG- </v>
          </cell>
          <cell r="H10">
            <v>0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0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0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0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0.5</v>
          </cell>
          <cell r="AG10">
            <v>1</v>
          </cell>
          <cell r="AH10">
            <v>1</v>
          </cell>
          <cell r="AI10">
            <v>0</v>
          </cell>
          <cell r="AJ10">
            <v>1</v>
          </cell>
          <cell r="AK10">
            <v>1</v>
          </cell>
          <cell r="AL10">
            <v>1</v>
          </cell>
          <cell r="AM10">
            <v>25.5</v>
          </cell>
          <cell r="AN10">
            <v>1000</v>
          </cell>
        </row>
        <row r="11">
          <cell r="F11" t="str">
            <v xml:space="preserve">BASAVARAJ TALWAR </v>
          </cell>
          <cell r="G11" t="str">
            <v xml:space="preserve">AVG- 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2</v>
          </cell>
          <cell r="S11">
            <v>1</v>
          </cell>
          <cell r="T11">
            <v>0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F11">
            <v>1</v>
          </cell>
          <cell r="AG11">
            <v>1</v>
          </cell>
          <cell r="AH11">
            <v>1</v>
          </cell>
          <cell r="AI11">
            <v>0</v>
          </cell>
          <cell r="AJ11">
            <v>0</v>
          </cell>
          <cell r="AK11">
            <v>0</v>
          </cell>
          <cell r="AL11">
            <v>1</v>
          </cell>
          <cell r="AM11">
            <v>28</v>
          </cell>
          <cell r="AN11">
            <v>500</v>
          </cell>
        </row>
        <row r="12">
          <cell r="F12" t="str">
            <v>DAVALSAB NADAF MATTU</v>
          </cell>
          <cell r="G12" t="str">
            <v xml:space="preserve">AVG- 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  <cell r="AF12">
            <v>2</v>
          </cell>
          <cell r="AG12">
            <v>1</v>
          </cell>
          <cell r="AH12">
            <v>0</v>
          </cell>
          <cell r="AI12">
            <v>1</v>
          </cell>
          <cell r="AJ12">
            <v>1</v>
          </cell>
          <cell r="AK12">
            <v>1</v>
          </cell>
          <cell r="AL12">
            <v>1</v>
          </cell>
          <cell r="AM12">
            <v>31</v>
          </cell>
          <cell r="AN12">
            <v>2500</v>
          </cell>
        </row>
        <row r="13">
          <cell r="F13" t="str">
            <v>HEMANT ANAVIRAPPA NANDURE</v>
          </cell>
          <cell r="G13" t="str">
            <v xml:space="preserve">AVG- </v>
          </cell>
          <cell r="H13">
            <v>0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0</v>
          </cell>
          <cell r="N13">
            <v>1</v>
          </cell>
          <cell r="O13">
            <v>0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0</v>
          </cell>
          <cell r="U13">
            <v>1</v>
          </cell>
          <cell r="V13">
            <v>0</v>
          </cell>
          <cell r="W13">
            <v>0</v>
          </cell>
          <cell r="X13">
            <v>0</v>
          </cell>
          <cell r="Y13">
            <v>1</v>
          </cell>
          <cell r="Z13">
            <v>1</v>
          </cell>
          <cell r="AA13">
            <v>0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0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M13">
            <v>22</v>
          </cell>
          <cell r="AN13">
            <v>0</v>
          </cell>
        </row>
        <row r="14">
          <cell r="F14" t="str">
            <v>AKIB SHAIKH</v>
          </cell>
          <cell r="G14" t="str">
            <v xml:space="preserve">AVG- 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1</v>
          </cell>
          <cell r="O14">
            <v>1</v>
          </cell>
          <cell r="P14">
            <v>0</v>
          </cell>
          <cell r="Q14">
            <v>1</v>
          </cell>
          <cell r="R14">
            <v>0</v>
          </cell>
          <cell r="S14">
            <v>1</v>
          </cell>
          <cell r="T14">
            <v>0</v>
          </cell>
          <cell r="U14">
            <v>1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1</v>
          </cell>
          <cell r="AE14">
            <v>0</v>
          </cell>
          <cell r="AF14">
            <v>1</v>
          </cell>
          <cell r="AG14">
            <v>1</v>
          </cell>
          <cell r="AH14">
            <v>1</v>
          </cell>
          <cell r="AI14">
            <v>0</v>
          </cell>
          <cell r="AJ14">
            <v>1</v>
          </cell>
          <cell r="AK14">
            <v>1</v>
          </cell>
          <cell r="AL14">
            <v>1</v>
          </cell>
          <cell r="AM14">
            <v>14</v>
          </cell>
          <cell r="AN14">
            <v>0</v>
          </cell>
        </row>
        <row r="15">
          <cell r="F15" t="str">
            <v>IRANNA IDDHARAM KANNI</v>
          </cell>
          <cell r="G15" t="str">
            <v xml:space="preserve">AVG- 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1</v>
          </cell>
          <cell r="Q15">
            <v>0</v>
          </cell>
          <cell r="R15">
            <v>0</v>
          </cell>
          <cell r="S15">
            <v>1</v>
          </cell>
          <cell r="T15">
            <v>0</v>
          </cell>
          <cell r="U15">
            <v>1</v>
          </cell>
          <cell r="V15">
            <v>0</v>
          </cell>
          <cell r="W15">
            <v>0</v>
          </cell>
          <cell r="X15">
            <v>0</v>
          </cell>
          <cell r="Y15">
            <v>1</v>
          </cell>
          <cell r="Z15">
            <v>1</v>
          </cell>
          <cell r="AA15">
            <v>0</v>
          </cell>
          <cell r="AB15">
            <v>0</v>
          </cell>
          <cell r="AC15">
            <v>1</v>
          </cell>
          <cell r="AD15">
            <v>1</v>
          </cell>
          <cell r="AE15">
            <v>1</v>
          </cell>
          <cell r="AF15">
            <v>1</v>
          </cell>
          <cell r="AG15">
            <v>1</v>
          </cell>
          <cell r="AH15">
            <v>0</v>
          </cell>
          <cell r="AI15">
            <v>1</v>
          </cell>
          <cell r="AJ15">
            <v>1</v>
          </cell>
          <cell r="AK15">
            <v>1</v>
          </cell>
          <cell r="AL15">
            <v>1</v>
          </cell>
          <cell r="AM15">
            <v>20</v>
          </cell>
          <cell r="AN15">
            <v>0</v>
          </cell>
        </row>
        <row r="16">
          <cell r="F16" t="str">
            <v>SAQIB SAYYAD</v>
          </cell>
          <cell r="G16" t="str">
            <v xml:space="preserve">AVG- </v>
          </cell>
          <cell r="H16">
            <v>0</v>
          </cell>
          <cell r="I16">
            <v>1</v>
          </cell>
          <cell r="J16">
            <v>1</v>
          </cell>
          <cell r="K16">
            <v>0</v>
          </cell>
          <cell r="L16">
            <v>2</v>
          </cell>
          <cell r="M16">
            <v>1</v>
          </cell>
          <cell r="N16">
            <v>1</v>
          </cell>
          <cell r="O16">
            <v>2</v>
          </cell>
          <cell r="P16">
            <v>0</v>
          </cell>
          <cell r="Q16">
            <v>1</v>
          </cell>
          <cell r="R16">
            <v>2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1</v>
          </cell>
          <cell r="AC16">
            <v>0.5</v>
          </cell>
          <cell r="AD16">
            <v>0</v>
          </cell>
          <cell r="AE16">
            <v>1</v>
          </cell>
          <cell r="AF16">
            <v>1</v>
          </cell>
          <cell r="AG16">
            <v>1</v>
          </cell>
          <cell r="AH16">
            <v>0</v>
          </cell>
          <cell r="AI16">
            <v>0</v>
          </cell>
          <cell r="AJ16">
            <v>0</v>
          </cell>
          <cell r="AK16">
            <v>1</v>
          </cell>
          <cell r="AL16">
            <v>0.5</v>
          </cell>
          <cell r="AM16">
            <v>17</v>
          </cell>
          <cell r="AN16">
            <v>0</v>
          </cell>
        </row>
        <row r="17">
          <cell r="F17" t="str">
            <v>HUSEN BABULAL NADAF</v>
          </cell>
          <cell r="G17" t="str">
            <v xml:space="preserve">AVG- 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</row>
        <row r="18">
          <cell r="F18" t="str">
            <v>PAGA GURURAJ MAHANTESH</v>
          </cell>
          <cell r="G18" t="str">
            <v xml:space="preserve">AVG- </v>
          </cell>
          <cell r="H18">
            <v>0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0</v>
          </cell>
          <cell r="V18">
            <v>0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  <cell r="AF18">
            <v>1</v>
          </cell>
          <cell r="AG18">
            <v>1</v>
          </cell>
          <cell r="AH18">
            <v>1</v>
          </cell>
          <cell r="AI18">
            <v>1</v>
          </cell>
          <cell r="AJ18">
            <v>1</v>
          </cell>
          <cell r="AK18">
            <v>1</v>
          </cell>
          <cell r="AL18">
            <v>1</v>
          </cell>
          <cell r="AM18">
            <v>28</v>
          </cell>
          <cell r="AN18">
            <v>500</v>
          </cell>
        </row>
        <row r="19">
          <cell r="F19" t="str">
            <v xml:space="preserve">SAGAR  PATIL </v>
          </cell>
          <cell r="G19" t="str">
            <v xml:space="preserve">AVG- </v>
          </cell>
          <cell r="H19">
            <v>1</v>
          </cell>
          <cell r="I19">
            <v>1</v>
          </cell>
          <cell r="J19">
            <v>0</v>
          </cell>
          <cell r="K19">
            <v>1</v>
          </cell>
          <cell r="L19">
            <v>1</v>
          </cell>
          <cell r="M19">
            <v>0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0</v>
          </cell>
          <cell r="AB19">
            <v>1</v>
          </cell>
          <cell r="AC19">
            <v>1</v>
          </cell>
          <cell r="AD19">
            <v>2</v>
          </cell>
          <cell r="AE19">
            <v>1</v>
          </cell>
          <cell r="AF19">
            <v>1</v>
          </cell>
          <cell r="AG19">
            <v>1</v>
          </cell>
          <cell r="AH19">
            <v>1</v>
          </cell>
          <cell r="AI19">
            <v>0</v>
          </cell>
          <cell r="AJ19">
            <v>1</v>
          </cell>
          <cell r="AK19">
            <v>1</v>
          </cell>
          <cell r="AL19">
            <v>1</v>
          </cell>
          <cell r="AM19">
            <v>27</v>
          </cell>
          <cell r="AN19">
            <v>500</v>
          </cell>
        </row>
        <row r="20">
          <cell r="F20" t="str">
            <v>DARGAPPA  SHIVANAND ARAVAT</v>
          </cell>
          <cell r="G20" t="str">
            <v xml:space="preserve">AVG- </v>
          </cell>
          <cell r="H20">
            <v>0</v>
          </cell>
          <cell r="I20">
            <v>1</v>
          </cell>
          <cell r="J20">
            <v>1</v>
          </cell>
          <cell r="K20">
            <v>1</v>
          </cell>
          <cell r="L20">
            <v>0</v>
          </cell>
          <cell r="M20">
            <v>0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0</v>
          </cell>
          <cell r="U20">
            <v>0</v>
          </cell>
          <cell r="V20">
            <v>1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A20">
            <v>1</v>
          </cell>
          <cell r="AB20">
            <v>0</v>
          </cell>
          <cell r="AC20">
            <v>1</v>
          </cell>
          <cell r="AD20">
            <v>1</v>
          </cell>
          <cell r="AE20">
            <v>1</v>
          </cell>
          <cell r="AF20">
            <v>1</v>
          </cell>
          <cell r="AG20">
            <v>0</v>
          </cell>
          <cell r="AH20">
            <v>0</v>
          </cell>
          <cell r="AI20">
            <v>1</v>
          </cell>
          <cell r="AJ20">
            <v>1</v>
          </cell>
          <cell r="AK20">
            <v>1</v>
          </cell>
          <cell r="AL20">
            <v>1</v>
          </cell>
          <cell r="AM20">
            <v>23</v>
          </cell>
          <cell r="AN20">
            <v>0</v>
          </cell>
        </row>
        <row r="21">
          <cell r="F21" t="str">
            <v>ANIL  GOVIND MALI</v>
          </cell>
          <cell r="G21" t="str">
            <v xml:space="preserve">FINAL </v>
          </cell>
          <cell r="H21">
            <v>0</v>
          </cell>
          <cell r="I21">
            <v>1</v>
          </cell>
          <cell r="J21">
            <v>1</v>
          </cell>
          <cell r="K21">
            <v>1</v>
          </cell>
          <cell r="L21">
            <v>1</v>
          </cell>
          <cell r="M21">
            <v>0</v>
          </cell>
          <cell r="N21">
            <v>1</v>
          </cell>
          <cell r="O21">
            <v>1</v>
          </cell>
          <cell r="P21">
            <v>0</v>
          </cell>
          <cell r="Q21">
            <v>1</v>
          </cell>
          <cell r="R21">
            <v>1</v>
          </cell>
          <cell r="S21">
            <v>1</v>
          </cell>
          <cell r="T21">
            <v>0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0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0</v>
          </cell>
          <cell r="AG21">
            <v>1</v>
          </cell>
          <cell r="AH21">
            <v>0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24</v>
          </cell>
          <cell r="AN21">
            <v>0</v>
          </cell>
        </row>
        <row r="22">
          <cell r="F22" t="str">
            <v>REVANSHDDHA SHIVAPPA ISHWARKATTI</v>
          </cell>
          <cell r="G22" t="str">
            <v xml:space="preserve">FINAL </v>
          </cell>
          <cell r="H22">
            <v>0</v>
          </cell>
          <cell r="I22">
            <v>1</v>
          </cell>
          <cell r="J22">
            <v>1</v>
          </cell>
          <cell r="K22">
            <v>1</v>
          </cell>
          <cell r="L22">
            <v>1</v>
          </cell>
          <cell r="M22">
            <v>0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0</v>
          </cell>
          <cell r="U22">
            <v>1</v>
          </cell>
          <cell r="V22">
            <v>1</v>
          </cell>
          <cell r="W22">
            <v>2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B22">
            <v>1</v>
          </cell>
          <cell r="AC22">
            <v>2</v>
          </cell>
          <cell r="AD22">
            <v>1</v>
          </cell>
          <cell r="AE22">
            <v>1</v>
          </cell>
          <cell r="AF22">
            <v>1</v>
          </cell>
          <cell r="AG22">
            <v>1</v>
          </cell>
          <cell r="AH22">
            <v>1</v>
          </cell>
          <cell r="AI22">
            <v>1</v>
          </cell>
          <cell r="AJ22">
            <v>1</v>
          </cell>
          <cell r="AK22">
            <v>1</v>
          </cell>
          <cell r="AL22">
            <v>1</v>
          </cell>
          <cell r="AM22">
            <v>30</v>
          </cell>
          <cell r="AN22">
            <v>2500</v>
          </cell>
        </row>
        <row r="23">
          <cell r="F23" t="str">
            <v>DIPAK DATTRAY KUMBHAR</v>
          </cell>
          <cell r="G23" t="str">
            <v xml:space="preserve">FINAL </v>
          </cell>
          <cell r="H23">
            <v>0</v>
          </cell>
          <cell r="I23">
            <v>1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0</v>
          </cell>
          <cell r="AB23">
            <v>0</v>
          </cell>
          <cell r="AC23">
            <v>0</v>
          </cell>
          <cell r="AD23">
            <v>2</v>
          </cell>
          <cell r="AE23">
            <v>1</v>
          </cell>
          <cell r="AF23">
            <v>1</v>
          </cell>
          <cell r="AG23">
            <v>1</v>
          </cell>
          <cell r="AH23">
            <v>0</v>
          </cell>
          <cell r="AI23">
            <v>1</v>
          </cell>
          <cell r="AJ23">
            <v>0</v>
          </cell>
          <cell r="AK23">
            <v>1</v>
          </cell>
          <cell r="AL23">
            <v>1</v>
          </cell>
          <cell r="AM23">
            <v>15</v>
          </cell>
          <cell r="AN23">
            <v>0</v>
          </cell>
        </row>
        <row r="24">
          <cell r="F24" t="str">
            <v>GIRISH SIDDHRAM MADYAL</v>
          </cell>
          <cell r="G24" t="str">
            <v xml:space="preserve">FINAL </v>
          </cell>
          <cell r="H24">
            <v>0</v>
          </cell>
          <cell r="I24">
            <v>0.5</v>
          </cell>
          <cell r="J24">
            <v>1</v>
          </cell>
          <cell r="K24">
            <v>1</v>
          </cell>
          <cell r="L24">
            <v>1</v>
          </cell>
          <cell r="M24">
            <v>0</v>
          </cell>
          <cell r="N24">
            <v>0</v>
          </cell>
          <cell r="O24">
            <v>0</v>
          </cell>
          <cell r="P24">
            <v>1</v>
          </cell>
          <cell r="Q24">
            <v>1</v>
          </cell>
          <cell r="R24">
            <v>1</v>
          </cell>
          <cell r="S24">
            <v>1</v>
          </cell>
          <cell r="T24">
            <v>0</v>
          </cell>
          <cell r="U24">
            <v>1</v>
          </cell>
          <cell r="V24">
            <v>1</v>
          </cell>
          <cell r="W24">
            <v>0</v>
          </cell>
          <cell r="X24">
            <v>1</v>
          </cell>
          <cell r="Y24">
            <v>1</v>
          </cell>
          <cell r="Z24">
            <v>1</v>
          </cell>
          <cell r="AA24">
            <v>0</v>
          </cell>
          <cell r="AB24">
            <v>0</v>
          </cell>
          <cell r="AC24">
            <v>1</v>
          </cell>
          <cell r="AD24">
            <v>1</v>
          </cell>
          <cell r="AE24">
            <v>1</v>
          </cell>
          <cell r="AF24">
            <v>1</v>
          </cell>
          <cell r="AG24">
            <v>1</v>
          </cell>
          <cell r="AH24">
            <v>0</v>
          </cell>
          <cell r="AI24">
            <v>0</v>
          </cell>
          <cell r="AJ24">
            <v>1</v>
          </cell>
          <cell r="AK24">
            <v>1</v>
          </cell>
          <cell r="AL24">
            <v>1</v>
          </cell>
          <cell r="AM24">
            <v>20.5</v>
          </cell>
          <cell r="AN24">
            <v>0</v>
          </cell>
        </row>
        <row r="25">
          <cell r="F25" t="str">
            <v>VIJAY BHARALE</v>
          </cell>
          <cell r="G25" t="str">
            <v xml:space="preserve">FINAL </v>
          </cell>
          <cell r="H25">
            <v>0</v>
          </cell>
          <cell r="I25">
            <v>1</v>
          </cell>
          <cell r="J25">
            <v>1</v>
          </cell>
          <cell r="K25">
            <v>1</v>
          </cell>
          <cell r="L25">
            <v>1</v>
          </cell>
          <cell r="M25">
            <v>0</v>
          </cell>
          <cell r="N25">
            <v>1</v>
          </cell>
          <cell r="O25">
            <v>0</v>
          </cell>
          <cell r="P25">
            <v>2</v>
          </cell>
          <cell r="Q25">
            <v>1</v>
          </cell>
          <cell r="R25">
            <v>1</v>
          </cell>
          <cell r="S25">
            <v>1</v>
          </cell>
          <cell r="T25">
            <v>0</v>
          </cell>
          <cell r="U25">
            <v>0</v>
          </cell>
          <cell r="V25">
            <v>1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0</v>
          </cell>
          <cell r="AB25">
            <v>1</v>
          </cell>
          <cell r="AC25">
            <v>1</v>
          </cell>
          <cell r="AD25">
            <v>0.5</v>
          </cell>
          <cell r="AE25">
            <v>1</v>
          </cell>
          <cell r="AF25">
            <v>1</v>
          </cell>
          <cell r="AG25">
            <v>0</v>
          </cell>
          <cell r="AH25">
            <v>0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  <cell r="AM25">
            <v>23.5</v>
          </cell>
          <cell r="AN25">
            <v>0</v>
          </cell>
        </row>
        <row r="26">
          <cell r="F26" t="str">
            <v>JITENDRA SIDRAM KOLI</v>
          </cell>
          <cell r="G26" t="str">
            <v xml:space="preserve">FINAL </v>
          </cell>
          <cell r="H26">
            <v>0</v>
          </cell>
          <cell r="I26">
            <v>0</v>
          </cell>
          <cell r="J26">
            <v>0</v>
          </cell>
          <cell r="K26">
            <v>1</v>
          </cell>
          <cell r="L26">
            <v>1</v>
          </cell>
          <cell r="M26">
            <v>0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0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  <cell r="AB26">
            <v>1</v>
          </cell>
          <cell r="AC26">
            <v>0</v>
          </cell>
          <cell r="AD26">
            <v>1</v>
          </cell>
          <cell r="AE26">
            <v>1</v>
          </cell>
          <cell r="AF26">
            <v>1</v>
          </cell>
          <cell r="AG26">
            <v>0</v>
          </cell>
          <cell r="AH26">
            <v>0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23</v>
          </cell>
          <cell r="AN26">
            <v>0</v>
          </cell>
        </row>
        <row r="27">
          <cell r="F27" t="str">
            <v>KASHINATH JAGANATH BIRAJDAR</v>
          </cell>
          <cell r="G27" t="str">
            <v xml:space="preserve">FINAL </v>
          </cell>
          <cell r="H27">
            <v>0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0</v>
          </cell>
          <cell r="N27">
            <v>0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0</v>
          </cell>
          <cell r="U27">
            <v>1</v>
          </cell>
          <cell r="V27">
            <v>1</v>
          </cell>
          <cell r="W27">
            <v>1</v>
          </cell>
          <cell r="X27">
            <v>0</v>
          </cell>
          <cell r="Y27">
            <v>1</v>
          </cell>
          <cell r="Z27">
            <v>1</v>
          </cell>
          <cell r="AA27">
            <v>0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0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  <cell r="AM27">
            <v>24</v>
          </cell>
          <cell r="AN27">
            <v>0</v>
          </cell>
        </row>
        <row r="28">
          <cell r="F28" t="str">
            <v>KHAWAJASAHAB GULAB HIMONE</v>
          </cell>
          <cell r="G28" t="str">
            <v xml:space="preserve">FINAL </v>
          </cell>
          <cell r="H28">
            <v>0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0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0</v>
          </cell>
          <cell r="U28">
            <v>1</v>
          </cell>
          <cell r="V28">
            <v>1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A28">
            <v>0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  <cell r="AF28">
            <v>1</v>
          </cell>
          <cell r="AG28">
            <v>1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1</v>
          </cell>
          <cell r="AM28">
            <v>23</v>
          </cell>
          <cell r="AN28">
            <v>0</v>
          </cell>
        </row>
        <row r="29">
          <cell r="F29" t="str">
            <v>BHIMASHANKAR SHARANAPPA ISHWARKATTI</v>
          </cell>
          <cell r="G29" t="str">
            <v xml:space="preserve">FINAL </v>
          </cell>
          <cell r="H29">
            <v>0</v>
          </cell>
          <cell r="I29">
            <v>1</v>
          </cell>
          <cell r="J29">
            <v>1</v>
          </cell>
          <cell r="K29">
            <v>1</v>
          </cell>
          <cell r="L29">
            <v>1</v>
          </cell>
          <cell r="M29">
            <v>0</v>
          </cell>
          <cell r="N29">
            <v>1</v>
          </cell>
          <cell r="O29">
            <v>1</v>
          </cell>
          <cell r="P29">
            <v>1</v>
          </cell>
          <cell r="Q29">
            <v>2</v>
          </cell>
          <cell r="R29">
            <v>1</v>
          </cell>
          <cell r="S29">
            <v>1</v>
          </cell>
          <cell r="T29">
            <v>0</v>
          </cell>
          <cell r="U29">
            <v>0</v>
          </cell>
          <cell r="V29">
            <v>1</v>
          </cell>
          <cell r="W29">
            <v>1</v>
          </cell>
          <cell r="X29">
            <v>1</v>
          </cell>
          <cell r="Y29">
            <v>0</v>
          </cell>
          <cell r="Z29">
            <v>1</v>
          </cell>
          <cell r="AA29">
            <v>0</v>
          </cell>
          <cell r="AB29">
            <v>1</v>
          </cell>
          <cell r="AC29">
            <v>1</v>
          </cell>
          <cell r="AD29">
            <v>0</v>
          </cell>
          <cell r="AE29">
            <v>0</v>
          </cell>
          <cell r="AF29">
            <v>0</v>
          </cell>
          <cell r="AG29">
            <v>1</v>
          </cell>
          <cell r="AH29">
            <v>0</v>
          </cell>
          <cell r="AI29">
            <v>1</v>
          </cell>
          <cell r="AJ29">
            <v>1</v>
          </cell>
          <cell r="AK29">
            <v>1</v>
          </cell>
          <cell r="AL29">
            <v>1</v>
          </cell>
          <cell r="AM29">
            <v>22</v>
          </cell>
          <cell r="AN29">
            <v>0</v>
          </cell>
        </row>
        <row r="30">
          <cell r="F30" t="str">
            <v>VISHAL SURESH MANE</v>
          </cell>
          <cell r="G30" t="str">
            <v xml:space="preserve">FINAL </v>
          </cell>
          <cell r="H30">
            <v>0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M30">
            <v>0</v>
          </cell>
          <cell r="N30">
            <v>1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1</v>
          </cell>
          <cell r="T30">
            <v>0</v>
          </cell>
          <cell r="U30">
            <v>1</v>
          </cell>
          <cell r="V30">
            <v>1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0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  <cell r="AF30">
            <v>1</v>
          </cell>
          <cell r="AG30">
            <v>1</v>
          </cell>
          <cell r="AH30">
            <v>0</v>
          </cell>
          <cell r="AI30">
            <v>1</v>
          </cell>
          <cell r="AJ30">
            <v>1</v>
          </cell>
          <cell r="AK30">
            <v>1</v>
          </cell>
          <cell r="AL30">
            <v>1</v>
          </cell>
          <cell r="AM30">
            <v>26</v>
          </cell>
          <cell r="AN30">
            <v>1000</v>
          </cell>
        </row>
        <row r="31">
          <cell r="F31" t="str">
            <v>SHIVANAND KANTAPPA KOSHTI</v>
          </cell>
          <cell r="G31" t="str">
            <v xml:space="preserve">FINAL </v>
          </cell>
          <cell r="H31">
            <v>0</v>
          </cell>
          <cell r="I31">
            <v>1</v>
          </cell>
          <cell r="J31">
            <v>2</v>
          </cell>
          <cell r="K31">
            <v>1</v>
          </cell>
          <cell r="L31">
            <v>1</v>
          </cell>
          <cell r="M31">
            <v>0</v>
          </cell>
          <cell r="N31">
            <v>1</v>
          </cell>
          <cell r="O31">
            <v>2</v>
          </cell>
          <cell r="P31">
            <v>1</v>
          </cell>
          <cell r="Q31">
            <v>1</v>
          </cell>
          <cell r="R31">
            <v>1</v>
          </cell>
          <cell r="S31">
            <v>0</v>
          </cell>
          <cell r="T31">
            <v>0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0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28</v>
          </cell>
          <cell r="AN31">
            <v>1000</v>
          </cell>
        </row>
        <row r="32">
          <cell r="F32" t="str">
            <v>DHANNAJAY  AMBURE</v>
          </cell>
          <cell r="G32" t="str">
            <v xml:space="preserve">FINAL 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1</v>
          </cell>
          <cell r="O32">
            <v>1</v>
          </cell>
          <cell r="P32">
            <v>1</v>
          </cell>
          <cell r="Q32">
            <v>0</v>
          </cell>
          <cell r="R32">
            <v>0</v>
          </cell>
          <cell r="S32">
            <v>1</v>
          </cell>
          <cell r="T32">
            <v>0</v>
          </cell>
          <cell r="U32">
            <v>1</v>
          </cell>
          <cell r="V32">
            <v>1</v>
          </cell>
          <cell r="W32">
            <v>0</v>
          </cell>
          <cell r="X32">
            <v>1</v>
          </cell>
          <cell r="Y32">
            <v>1</v>
          </cell>
          <cell r="Z32">
            <v>0.5</v>
          </cell>
          <cell r="AA32">
            <v>0</v>
          </cell>
          <cell r="AB32">
            <v>0</v>
          </cell>
          <cell r="AC32">
            <v>0</v>
          </cell>
          <cell r="AD32">
            <v>1</v>
          </cell>
          <cell r="AE32">
            <v>1</v>
          </cell>
          <cell r="AF32">
            <v>1</v>
          </cell>
          <cell r="AG32">
            <v>0.5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12</v>
          </cell>
          <cell r="AN32">
            <v>0</v>
          </cell>
        </row>
        <row r="33">
          <cell r="F33" t="str">
            <v>NAMDEV  BANDGAR</v>
          </cell>
          <cell r="G33" t="str">
            <v xml:space="preserve">HE </v>
          </cell>
          <cell r="H33">
            <v>0</v>
          </cell>
          <cell r="I33">
            <v>0</v>
          </cell>
          <cell r="J33">
            <v>2</v>
          </cell>
          <cell r="K33">
            <v>1</v>
          </cell>
          <cell r="L33">
            <v>1</v>
          </cell>
          <cell r="M33">
            <v>0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0</v>
          </cell>
          <cell r="U33">
            <v>0</v>
          </cell>
          <cell r="V33">
            <v>0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26</v>
          </cell>
          <cell r="AN33">
            <v>0</v>
          </cell>
        </row>
        <row r="34">
          <cell r="F34" t="str">
            <v>DATTATRAY ASHOK WAGHMODE</v>
          </cell>
          <cell r="G34" t="str">
            <v xml:space="preserve">HE </v>
          </cell>
          <cell r="H34">
            <v>0</v>
          </cell>
          <cell r="I34">
            <v>0</v>
          </cell>
          <cell r="J34">
            <v>1</v>
          </cell>
          <cell r="K34">
            <v>1</v>
          </cell>
          <cell r="L34">
            <v>1</v>
          </cell>
          <cell r="M34">
            <v>0</v>
          </cell>
          <cell r="N34">
            <v>0</v>
          </cell>
          <cell r="O34">
            <v>1</v>
          </cell>
          <cell r="P34">
            <v>1</v>
          </cell>
          <cell r="Q34">
            <v>1</v>
          </cell>
          <cell r="R34">
            <v>1</v>
          </cell>
          <cell r="S34">
            <v>1</v>
          </cell>
          <cell r="T34">
            <v>0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0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  <cell r="AF34">
            <v>1</v>
          </cell>
          <cell r="AG34">
            <v>1</v>
          </cell>
          <cell r="AH34">
            <v>0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24</v>
          </cell>
          <cell r="AN34">
            <v>0</v>
          </cell>
        </row>
        <row r="35">
          <cell r="F35" t="str">
            <v>KHALID ILAHI SHIAKH</v>
          </cell>
          <cell r="G35" t="str">
            <v xml:space="preserve">HE </v>
          </cell>
          <cell r="H35">
            <v>0</v>
          </cell>
          <cell r="I35">
            <v>0</v>
          </cell>
          <cell r="J35">
            <v>1</v>
          </cell>
          <cell r="K35">
            <v>1</v>
          </cell>
          <cell r="L35">
            <v>1</v>
          </cell>
          <cell r="M35">
            <v>0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0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0</v>
          </cell>
          <cell r="AB35">
            <v>1</v>
          </cell>
          <cell r="AC35">
            <v>1</v>
          </cell>
          <cell r="AD35">
            <v>1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1</v>
          </cell>
          <cell r="AK35">
            <v>1</v>
          </cell>
          <cell r="AL35">
            <v>1</v>
          </cell>
          <cell r="AM35">
            <v>21</v>
          </cell>
          <cell r="AN35">
            <v>0</v>
          </cell>
        </row>
        <row r="36">
          <cell r="F36" t="str">
            <v>AKASH  JAGNNATH TENAGLE</v>
          </cell>
          <cell r="G36" t="str">
            <v xml:space="preserve">HE </v>
          </cell>
          <cell r="H36">
            <v>0</v>
          </cell>
          <cell r="I36">
            <v>0</v>
          </cell>
          <cell r="J36">
            <v>1</v>
          </cell>
          <cell r="K36">
            <v>1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2</v>
          </cell>
          <cell r="R36">
            <v>1</v>
          </cell>
          <cell r="S36">
            <v>1</v>
          </cell>
          <cell r="T36">
            <v>0</v>
          </cell>
          <cell r="U36">
            <v>1</v>
          </cell>
          <cell r="V36">
            <v>1</v>
          </cell>
          <cell r="W36">
            <v>0</v>
          </cell>
          <cell r="X36">
            <v>1</v>
          </cell>
          <cell r="Y36">
            <v>1</v>
          </cell>
          <cell r="Z36">
            <v>1</v>
          </cell>
          <cell r="AA36">
            <v>0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  <cell r="AF36">
            <v>1</v>
          </cell>
          <cell r="AG36">
            <v>1</v>
          </cell>
          <cell r="AH36">
            <v>1</v>
          </cell>
          <cell r="AI36">
            <v>1</v>
          </cell>
          <cell r="AJ36">
            <v>1</v>
          </cell>
          <cell r="AK36">
            <v>1</v>
          </cell>
          <cell r="AL36">
            <v>1</v>
          </cell>
          <cell r="AM36">
            <v>27</v>
          </cell>
          <cell r="AN36">
            <v>1000</v>
          </cell>
        </row>
        <row r="37">
          <cell r="F37" t="str">
            <v>KASHINATH  ABHIMANU PATIL</v>
          </cell>
          <cell r="G37" t="str">
            <v xml:space="preserve">HE </v>
          </cell>
          <cell r="H37">
            <v>0</v>
          </cell>
          <cell r="I37">
            <v>0</v>
          </cell>
          <cell r="J37">
            <v>1</v>
          </cell>
          <cell r="K37">
            <v>1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  <cell r="T37">
            <v>0</v>
          </cell>
          <cell r="U37">
            <v>1</v>
          </cell>
          <cell r="V37">
            <v>1</v>
          </cell>
          <cell r="W37">
            <v>1</v>
          </cell>
          <cell r="X37">
            <v>0</v>
          </cell>
          <cell r="Y37">
            <v>1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F37">
            <v>1</v>
          </cell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  <cell r="AM37">
            <v>27</v>
          </cell>
          <cell r="AN37">
            <v>500</v>
          </cell>
        </row>
        <row r="38">
          <cell r="F38" t="str">
            <v xml:space="preserve">SATISH SHIVAJI SHINDE </v>
          </cell>
          <cell r="G38" t="str">
            <v xml:space="preserve">HE </v>
          </cell>
          <cell r="H38">
            <v>0</v>
          </cell>
          <cell r="I38">
            <v>0</v>
          </cell>
          <cell r="J38">
            <v>1</v>
          </cell>
          <cell r="K38">
            <v>1</v>
          </cell>
          <cell r="L38">
            <v>1</v>
          </cell>
          <cell r="M38">
            <v>0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0</v>
          </cell>
          <cell r="U38">
            <v>1</v>
          </cell>
          <cell r="V38">
            <v>1</v>
          </cell>
          <cell r="W38">
            <v>0</v>
          </cell>
          <cell r="X38">
            <v>0</v>
          </cell>
          <cell r="Y38">
            <v>1</v>
          </cell>
          <cell r="Z38">
            <v>1</v>
          </cell>
          <cell r="AA38">
            <v>0</v>
          </cell>
          <cell r="AB38">
            <v>1</v>
          </cell>
          <cell r="AC38">
            <v>1</v>
          </cell>
          <cell r="AD38">
            <v>1</v>
          </cell>
          <cell r="AE38">
            <v>0.5</v>
          </cell>
          <cell r="AF38">
            <v>0</v>
          </cell>
          <cell r="AG38">
            <v>0</v>
          </cell>
          <cell r="AH38">
            <v>0</v>
          </cell>
          <cell r="AI38">
            <v>1</v>
          </cell>
          <cell r="AJ38">
            <v>1</v>
          </cell>
          <cell r="AK38">
            <v>1</v>
          </cell>
          <cell r="AL38">
            <v>1</v>
          </cell>
          <cell r="AM38">
            <v>20.5</v>
          </cell>
          <cell r="AN38">
            <v>0</v>
          </cell>
        </row>
        <row r="39">
          <cell r="F39" t="str">
            <v>SAGAR GHERSANGI</v>
          </cell>
          <cell r="G39" t="str">
            <v xml:space="preserve">HE </v>
          </cell>
          <cell r="H39">
            <v>0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B39">
            <v>0</v>
          </cell>
          <cell r="AC39">
            <v>1</v>
          </cell>
          <cell r="AD39">
            <v>1</v>
          </cell>
          <cell r="AE39">
            <v>1</v>
          </cell>
          <cell r="AF39">
            <v>0</v>
          </cell>
          <cell r="AG39">
            <v>0</v>
          </cell>
          <cell r="AH39">
            <v>0</v>
          </cell>
          <cell r="AI39">
            <v>1</v>
          </cell>
          <cell r="AJ39">
            <v>1</v>
          </cell>
          <cell r="AK39">
            <v>0.5</v>
          </cell>
          <cell r="AL39">
            <v>1</v>
          </cell>
          <cell r="AM39">
            <v>15.5</v>
          </cell>
          <cell r="AN39">
            <v>0</v>
          </cell>
        </row>
        <row r="40">
          <cell r="F40" t="str">
            <v>AJAY SHRINIVAS PENTA</v>
          </cell>
          <cell r="G40" t="str">
            <v xml:space="preserve">HE </v>
          </cell>
          <cell r="H40">
            <v>0</v>
          </cell>
          <cell r="I40">
            <v>1</v>
          </cell>
          <cell r="J40">
            <v>1</v>
          </cell>
          <cell r="K40">
            <v>1</v>
          </cell>
          <cell r="L40">
            <v>1</v>
          </cell>
          <cell r="M40">
            <v>0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0</v>
          </cell>
          <cell r="U40">
            <v>0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0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F40">
            <v>1</v>
          </cell>
          <cell r="AG40">
            <v>1</v>
          </cell>
          <cell r="AH40">
            <v>0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  <cell r="AM40">
            <v>25</v>
          </cell>
          <cell r="AN40">
            <v>500</v>
          </cell>
        </row>
        <row r="41">
          <cell r="F41" t="str">
            <v>HARUN MULLA</v>
          </cell>
          <cell r="G41" t="str">
            <v xml:space="preserve">HE </v>
          </cell>
          <cell r="H41">
            <v>0</v>
          </cell>
          <cell r="I41">
            <v>1</v>
          </cell>
          <cell r="J41">
            <v>0.5</v>
          </cell>
          <cell r="K41">
            <v>1</v>
          </cell>
          <cell r="L41">
            <v>1</v>
          </cell>
          <cell r="M41">
            <v>0</v>
          </cell>
          <cell r="N41">
            <v>1</v>
          </cell>
          <cell r="O41">
            <v>0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0</v>
          </cell>
          <cell r="AF41">
            <v>1</v>
          </cell>
          <cell r="AG41">
            <v>1</v>
          </cell>
          <cell r="AH41">
            <v>1</v>
          </cell>
          <cell r="AI41">
            <v>0</v>
          </cell>
          <cell r="AJ41">
            <v>1</v>
          </cell>
          <cell r="AK41">
            <v>1</v>
          </cell>
          <cell r="AL41">
            <v>1</v>
          </cell>
          <cell r="AM41">
            <v>25.5</v>
          </cell>
          <cell r="AN41">
            <v>0</v>
          </cell>
        </row>
        <row r="42">
          <cell r="F42" t="str">
            <v>RAJSHEKHAR ANDODGI</v>
          </cell>
          <cell r="G42" t="str">
            <v xml:space="preserve">HE </v>
          </cell>
          <cell r="H42">
            <v>0</v>
          </cell>
          <cell r="I42">
            <v>1</v>
          </cell>
          <cell r="J42">
            <v>0.5</v>
          </cell>
          <cell r="K42">
            <v>1</v>
          </cell>
          <cell r="L42">
            <v>1</v>
          </cell>
          <cell r="M42">
            <v>0</v>
          </cell>
          <cell r="N42">
            <v>0</v>
          </cell>
          <cell r="O42">
            <v>1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>
            <v>0</v>
          </cell>
          <cell r="U42">
            <v>0</v>
          </cell>
          <cell r="V42">
            <v>1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A42">
            <v>0</v>
          </cell>
          <cell r="AB42">
            <v>0</v>
          </cell>
          <cell r="AC42">
            <v>1</v>
          </cell>
          <cell r="AD42">
            <v>1</v>
          </cell>
          <cell r="AE42">
            <v>1</v>
          </cell>
          <cell r="AF42">
            <v>1</v>
          </cell>
          <cell r="AG42">
            <v>1</v>
          </cell>
          <cell r="AH42">
            <v>0</v>
          </cell>
          <cell r="AI42">
            <v>1</v>
          </cell>
          <cell r="AJ42">
            <v>1</v>
          </cell>
          <cell r="AK42">
            <v>1</v>
          </cell>
          <cell r="AL42">
            <v>0</v>
          </cell>
          <cell r="AM42">
            <v>21.5</v>
          </cell>
          <cell r="AN42">
            <v>0</v>
          </cell>
        </row>
        <row r="43">
          <cell r="F43" t="str">
            <v>AMOL TEJU RATHOD</v>
          </cell>
          <cell r="G43" t="str">
            <v xml:space="preserve">HE </v>
          </cell>
          <cell r="H43">
            <v>0</v>
          </cell>
          <cell r="I43">
            <v>1</v>
          </cell>
          <cell r="J43">
            <v>1</v>
          </cell>
          <cell r="K43">
            <v>1</v>
          </cell>
          <cell r="L43">
            <v>1</v>
          </cell>
          <cell r="M43">
            <v>1</v>
          </cell>
          <cell r="N43">
            <v>1</v>
          </cell>
          <cell r="O43">
            <v>1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>
            <v>0</v>
          </cell>
          <cell r="U43">
            <v>1</v>
          </cell>
          <cell r="V43">
            <v>1</v>
          </cell>
          <cell r="W43">
            <v>1</v>
          </cell>
          <cell r="X43">
            <v>1</v>
          </cell>
          <cell r="Y43">
            <v>1</v>
          </cell>
          <cell r="Z43">
            <v>0.5</v>
          </cell>
          <cell r="AA43">
            <v>0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F43">
            <v>1</v>
          </cell>
          <cell r="AG43">
            <v>1</v>
          </cell>
          <cell r="AH43">
            <v>0</v>
          </cell>
          <cell r="AI43">
            <v>1</v>
          </cell>
          <cell r="AJ43">
            <v>1</v>
          </cell>
          <cell r="AK43">
            <v>1</v>
          </cell>
          <cell r="AL43">
            <v>1</v>
          </cell>
          <cell r="AM43">
            <v>26.5</v>
          </cell>
          <cell r="AN43">
            <v>1000</v>
          </cell>
        </row>
        <row r="44">
          <cell r="F44" t="str">
            <v xml:space="preserve">ABHISHEK SUNIL RATHOD </v>
          </cell>
          <cell r="G44" t="str">
            <v xml:space="preserve">HE 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0</v>
          </cell>
          <cell r="U44">
            <v>0</v>
          </cell>
          <cell r="V44">
            <v>0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0</v>
          </cell>
          <cell r="AB44">
            <v>1</v>
          </cell>
          <cell r="AC44">
            <v>1</v>
          </cell>
          <cell r="AD44">
            <v>0.5</v>
          </cell>
          <cell r="AE44">
            <v>0</v>
          </cell>
          <cell r="AF44">
            <v>1</v>
          </cell>
          <cell r="AG44">
            <v>1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14.5</v>
          </cell>
          <cell r="AN44">
            <v>0</v>
          </cell>
        </row>
        <row r="45">
          <cell r="F45" t="str">
            <v>ROHAN BABURAO PANDIT</v>
          </cell>
          <cell r="G45" t="str">
            <v xml:space="preserve">HE </v>
          </cell>
          <cell r="H45">
            <v>0</v>
          </cell>
          <cell r="I45">
            <v>1</v>
          </cell>
          <cell r="J45">
            <v>1</v>
          </cell>
          <cell r="K45">
            <v>1</v>
          </cell>
          <cell r="L45">
            <v>1</v>
          </cell>
          <cell r="M45">
            <v>1</v>
          </cell>
          <cell r="N45">
            <v>1</v>
          </cell>
          <cell r="O45">
            <v>1</v>
          </cell>
          <cell r="P45">
            <v>1</v>
          </cell>
          <cell r="Q45">
            <v>0.5</v>
          </cell>
          <cell r="R45">
            <v>1</v>
          </cell>
          <cell r="S45">
            <v>1</v>
          </cell>
          <cell r="T45">
            <v>0</v>
          </cell>
          <cell r="U45">
            <v>1</v>
          </cell>
          <cell r="V45">
            <v>1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0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  <cell r="AF45">
            <v>1</v>
          </cell>
          <cell r="AG45">
            <v>1</v>
          </cell>
          <cell r="AH45">
            <v>0</v>
          </cell>
          <cell r="AI45">
            <v>1</v>
          </cell>
          <cell r="AJ45">
            <v>1</v>
          </cell>
          <cell r="AK45">
            <v>1</v>
          </cell>
          <cell r="AL45">
            <v>1</v>
          </cell>
          <cell r="AM45">
            <v>26.5</v>
          </cell>
          <cell r="AN45">
            <v>1000</v>
          </cell>
        </row>
        <row r="46">
          <cell r="F46" t="str">
            <v>SAGAR MALIKARI KOLI</v>
          </cell>
          <cell r="G46" t="str">
            <v xml:space="preserve">HE 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1</v>
          </cell>
          <cell r="AD46">
            <v>1</v>
          </cell>
          <cell r="AE46">
            <v>1</v>
          </cell>
          <cell r="AF46">
            <v>1</v>
          </cell>
          <cell r="AG46">
            <v>1</v>
          </cell>
          <cell r="AH46">
            <v>0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  <cell r="AM46">
            <v>9</v>
          </cell>
          <cell r="AN46">
            <v>0</v>
          </cell>
        </row>
        <row r="47">
          <cell r="F47" t="str">
            <v>MOIN GULAB MULLA</v>
          </cell>
          <cell r="G47" t="str">
            <v xml:space="preserve">HE 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</row>
        <row r="48">
          <cell r="F48" t="str">
            <v>MALLINATH SHIVRAM VHANKADE</v>
          </cell>
          <cell r="G48" t="str">
            <v xml:space="preserve">HE </v>
          </cell>
          <cell r="H48">
            <v>0</v>
          </cell>
          <cell r="I48">
            <v>1</v>
          </cell>
          <cell r="J48">
            <v>0</v>
          </cell>
          <cell r="K48">
            <v>1</v>
          </cell>
          <cell r="L48">
            <v>1</v>
          </cell>
          <cell r="M48">
            <v>0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0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0</v>
          </cell>
          <cell r="Z48">
            <v>0.5</v>
          </cell>
          <cell r="AA48">
            <v>0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  <cell r="AF48">
            <v>1</v>
          </cell>
          <cell r="AG48">
            <v>1</v>
          </cell>
          <cell r="AH48">
            <v>0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  <cell r="AM48">
            <v>23.5</v>
          </cell>
          <cell r="AN48">
            <v>0</v>
          </cell>
        </row>
        <row r="49">
          <cell r="F49" t="str">
            <v>ANKUSH SANJAY BHALE</v>
          </cell>
          <cell r="G49" t="str">
            <v xml:space="preserve">HE </v>
          </cell>
          <cell r="H49">
            <v>0</v>
          </cell>
          <cell r="I49">
            <v>1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1</v>
          </cell>
          <cell r="S49">
            <v>1</v>
          </cell>
          <cell r="T49">
            <v>0</v>
          </cell>
          <cell r="U49">
            <v>1</v>
          </cell>
          <cell r="V49">
            <v>1</v>
          </cell>
          <cell r="W49">
            <v>0</v>
          </cell>
          <cell r="X49">
            <v>1</v>
          </cell>
          <cell r="Y49">
            <v>1</v>
          </cell>
          <cell r="Z49">
            <v>1</v>
          </cell>
          <cell r="AA49">
            <v>0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  <cell r="AF49">
            <v>0</v>
          </cell>
          <cell r="AG49">
            <v>1</v>
          </cell>
          <cell r="AH49">
            <v>0</v>
          </cell>
          <cell r="AI49">
            <v>0</v>
          </cell>
          <cell r="AJ49">
            <v>1</v>
          </cell>
          <cell r="AK49">
            <v>1</v>
          </cell>
          <cell r="AL49">
            <v>1</v>
          </cell>
          <cell r="AM49">
            <v>16</v>
          </cell>
          <cell r="AN49">
            <v>0</v>
          </cell>
        </row>
        <row r="50">
          <cell r="F50" t="str">
            <v xml:space="preserve">DINESH VASANT SALGAR </v>
          </cell>
          <cell r="G50" t="str">
            <v xml:space="preserve">HE </v>
          </cell>
          <cell r="H50">
            <v>0</v>
          </cell>
          <cell r="I50">
            <v>1</v>
          </cell>
          <cell r="J50">
            <v>0</v>
          </cell>
          <cell r="K50">
            <v>1</v>
          </cell>
          <cell r="L50">
            <v>1</v>
          </cell>
          <cell r="M50">
            <v>1</v>
          </cell>
          <cell r="N50">
            <v>1</v>
          </cell>
          <cell r="O50">
            <v>0</v>
          </cell>
          <cell r="P50">
            <v>0</v>
          </cell>
          <cell r="Q50">
            <v>1</v>
          </cell>
          <cell r="R50">
            <v>1</v>
          </cell>
          <cell r="S50">
            <v>1</v>
          </cell>
          <cell r="T50">
            <v>0</v>
          </cell>
          <cell r="U50">
            <v>1</v>
          </cell>
          <cell r="V50">
            <v>1</v>
          </cell>
          <cell r="W50">
            <v>1</v>
          </cell>
          <cell r="X50">
            <v>1</v>
          </cell>
          <cell r="Y50">
            <v>0</v>
          </cell>
          <cell r="Z50">
            <v>1</v>
          </cell>
          <cell r="AA50">
            <v>0</v>
          </cell>
          <cell r="AB50">
            <v>1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14</v>
          </cell>
          <cell r="AN50">
            <v>0</v>
          </cell>
        </row>
        <row r="51">
          <cell r="F51" t="str">
            <v>ANIL RAWAT</v>
          </cell>
          <cell r="G51" t="str">
            <v xml:space="preserve">HE </v>
          </cell>
          <cell r="H51">
            <v>0</v>
          </cell>
          <cell r="I51">
            <v>0</v>
          </cell>
          <cell r="J51">
            <v>0</v>
          </cell>
          <cell r="K51">
            <v>1</v>
          </cell>
          <cell r="L51">
            <v>1</v>
          </cell>
          <cell r="M51">
            <v>1</v>
          </cell>
          <cell r="N51">
            <v>0</v>
          </cell>
          <cell r="O51">
            <v>0</v>
          </cell>
          <cell r="P51">
            <v>0</v>
          </cell>
          <cell r="Q51">
            <v>1</v>
          </cell>
          <cell r="R51">
            <v>1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  <cell r="AB51">
            <v>0</v>
          </cell>
          <cell r="AC51">
            <v>1</v>
          </cell>
          <cell r="AD51">
            <v>1</v>
          </cell>
          <cell r="AE51">
            <v>1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1</v>
          </cell>
          <cell r="AK51">
            <v>1</v>
          </cell>
          <cell r="AL51">
            <v>1</v>
          </cell>
          <cell r="AM51">
            <v>16</v>
          </cell>
          <cell r="AN51">
            <v>0</v>
          </cell>
        </row>
        <row r="52">
          <cell r="F52" t="str">
            <v>BADIGER RAJKUMAR</v>
          </cell>
          <cell r="G52" t="str">
            <v xml:space="preserve">HE </v>
          </cell>
          <cell r="H52">
            <v>0</v>
          </cell>
          <cell r="I52">
            <v>1</v>
          </cell>
          <cell r="J52">
            <v>1</v>
          </cell>
          <cell r="K52">
            <v>1</v>
          </cell>
          <cell r="L52">
            <v>1</v>
          </cell>
          <cell r="M52">
            <v>1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0.5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1</v>
          </cell>
          <cell r="AC52">
            <v>0.5</v>
          </cell>
          <cell r="AD52">
            <v>0</v>
          </cell>
          <cell r="AE52">
            <v>1</v>
          </cell>
          <cell r="AF52">
            <v>0</v>
          </cell>
          <cell r="AG52">
            <v>1</v>
          </cell>
          <cell r="AH52">
            <v>0</v>
          </cell>
          <cell r="AI52">
            <v>1</v>
          </cell>
          <cell r="AJ52">
            <v>1</v>
          </cell>
          <cell r="AK52">
            <v>0</v>
          </cell>
          <cell r="AL52">
            <v>0</v>
          </cell>
          <cell r="AM52">
            <v>11</v>
          </cell>
          <cell r="AN52">
            <v>0</v>
          </cell>
        </row>
        <row r="53">
          <cell r="F53" t="str">
            <v>RAKESH ASHOK RAUT</v>
          </cell>
          <cell r="G53" t="str">
            <v xml:space="preserve">HE </v>
          </cell>
          <cell r="H53">
            <v>0</v>
          </cell>
          <cell r="I53">
            <v>1</v>
          </cell>
          <cell r="J53">
            <v>1</v>
          </cell>
          <cell r="K53">
            <v>1</v>
          </cell>
          <cell r="L53">
            <v>1</v>
          </cell>
          <cell r="M53">
            <v>0</v>
          </cell>
          <cell r="N53">
            <v>1</v>
          </cell>
          <cell r="O53">
            <v>0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0</v>
          </cell>
          <cell r="U53">
            <v>1</v>
          </cell>
          <cell r="V53">
            <v>1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0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F53">
            <v>0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M53">
            <v>25</v>
          </cell>
          <cell r="AN53">
            <v>500</v>
          </cell>
        </row>
        <row r="54">
          <cell r="F54" t="str">
            <v>KHATAL SANDIP CHANDRAKANT</v>
          </cell>
          <cell r="G54" t="str">
            <v xml:space="preserve">HE </v>
          </cell>
          <cell r="H54">
            <v>0</v>
          </cell>
          <cell r="I54">
            <v>1</v>
          </cell>
          <cell r="J54">
            <v>1</v>
          </cell>
          <cell r="K54">
            <v>1</v>
          </cell>
          <cell r="L54">
            <v>1</v>
          </cell>
          <cell r="M54">
            <v>0</v>
          </cell>
          <cell r="N54">
            <v>1</v>
          </cell>
          <cell r="O54">
            <v>0</v>
          </cell>
          <cell r="P54">
            <v>0</v>
          </cell>
          <cell r="Q54">
            <v>1</v>
          </cell>
          <cell r="R54">
            <v>1</v>
          </cell>
          <cell r="S54">
            <v>1</v>
          </cell>
          <cell r="T54">
            <v>0.5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2</v>
          </cell>
          <cell r="Z54">
            <v>1</v>
          </cell>
          <cell r="AA54">
            <v>0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  <cell r="AF54">
            <v>1</v>
          </cell>
          <cell r="AG54">
            <v>1</v>
          </cell>
          <cell r="AH54">
            <v>1</v>
          </cell>
          <cell r="AI54">
            <v>1</v>
          </cell>
          <cell r="AJ54">
            <v>0</v>
          </cell>
          <cell r="AK54">
            <v>1</v>
          </cell>
          <cell r="AL54">
            <v>1</v>
          </cell>
          <cell r="AM54">
            <v>25.5</v>
          </cell>
          <cell r="AN54">
            <v>0</v>
          </cell>
        </row>
        <row r="55">
          <cell r="F55" t="str">
            <v>SAISAMARTH VITTHAL ZAMPALE</v>
          </cell>
          <cell r="G55" t="str">
            <v xml:space="preserve">HE </v>
          </cell>
          <cell r="H55">
            <v>0</v>
          </cell>
          <cell r="I55">
            <v>1</v>
          </cell>
          <cell r="J55">
            <v>0.5</v>
          </cell>
          <cell r="K55">
            <v>1</v>
          </cell>
          <cell r="L55">
            <v>1</v>
          </cell>
          <cell r="M55">
            <v>0</v>
          </cell>
          <cell r="N55">
            <v>1</v>
          </cell>
          <cell r="O55">
            <v>1</v>
          </cell>
          <cell r="P55">
            <v>0</v>
          </cell>
          <cell r="Q55">
            <v>0</v>
          </cell>
          <cell r="R55">
            <v>0</v>
          </cell>
          <cell r="S55">
            <v>1</v>
          </cell>
          <cell r="T55">
            <v>0</v>
          </cell>
          <cell r="U55">
            <v>1</v>
          </cell>
          <cell r="V55">
            <v>1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A55">
            <v>0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  <cell r="AF55">
            <v>1</v>
          </cell>
          <cell r="AG55">
            <v>1</v>
          </cell>
          <cell r="AH55">
            <v>0</v>
          </cell>
          <cell r="AI55">
            <v>1</v>
          </cell>
          <cell r="AJ55">
            <v>1</v>
          </cell>
          <cell r="AK55">
            <v>1</v>
          </cell>
          <cell r="AL55">
            <v>1</v>
          </cell>
          <cell r="AM55">
            <v>22.5</v>
          </cell>
          <cell r="AN55">
            <v>0</v>
          </cell>
        </row>
        <row r="56">
          <cell r="F56" t="str">
            <v>MANGESH NAVNATH ANKUSHRAO</v>
          </cell>
          <cell r="G56" t="str">
            <v xml:space="preserve">HE </v>
          </cell>
          <cell r="H56">
            <v>0</v>
          </cell>
          <cell r="I56">
            <v>1</v>
          </cell>
          <cell r="J56">
            <v>0.5</v>
          </cell>
          <cell r="K56">
            <v>1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1</v>
          </cell>
          <cell r="S56">
            <v>1</v>
          </cell>
          <cell r="T56">
            <v>0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0</v>
          </cell>
          <cell r="AB56">
            <v>0.5</v>
          </cell>
          <cell r="AC56">
            <v>0</v>
          </cell>
          <cell r="AD56">
            <v>1</v>
          </cell>
          <cell r="AE56">
            <v>1</v>
          </cell>
          <cell r="AF56">
            <v>1</v>
          </cell>
          <cell r="AG56">
            <v>0</v>
          </cell>
          <cell r="AH56">
            <v>0</v>
          </cell>
          <cell r="AI56">
            <v>1</v>
          </cell>
          <cell r="AJ56">
            <v>0</v>
          </cell>
          <cell r="AK56">
            <v>1</v>
          </cell>
          <cell r="AL56">
            <v>1</v>
          </cell>
          <cell r="AM56">
            <v>17</v>
          </cell>
          <cell r="AN56">
            <v>0</v>
          </cell>
        </row>
        <row r="57">
          <cell r="F57" t="str">
            <v>HIRKUR YUVRAJ MALAKARI</v>
          </cell>
          <cell r="G57" t="str">
            <v xml:space="preserve">HE </v>
          </cell>
          <cell r="H57">
            <v>0</v>
          </cell>
          <cell r="I57">
            <v>0</v>
          </cell>
          <cell r="J57">
            <v>1</v>
          </cell>
          <cell r="K57">
            <v>1</v>
          </cell>
          <cell r="L57">
            <v>1</v>
          </cell>
          <cell r="M57">
            <v>0</v>
          </cell>
          <cell r="N57">
            <v>1</v>
          </cell>
          <cell r="O57">
            <v>1</v>
          </cell>
          <cell r="P57">
            <v>0</v>
          </cell>
          <cell r="Q57">
            <v>1</v>
          </cell>
          <cell r="R57">
            <v>1</v>
          </cell>
          <cell r="S57">
            <v>1</v>
          </cell>
          <cell r="T57">
            <v>0</v>
          </cell>
          <cell r="U57">
            <v>1</v>
          </cell>
          <cell r="V57">
            <v>1</v>
          </cell>
          <cell r="W57">
            <v>0</v>
          </cell>
          <cell r="X57">
            <v>1</v>
          </cell>
          <cell r="Y57">
            <v>1</v>
          </cell>
          <cell r="Z57">
            <v>1</v>
          </cell>
          <cell r="AA57">
            <v>0</v>
          </cell>
          <cell r="AB57">
            <v>0</v>
          </cell>
          <cell r="AC57">
            <v>0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1</v>
          </cell>
          <cell r="AL57">
            <v>1</v>
          </cell>
          <cell r="AM57">
            <v>22</v>
          </cell>
          <cell r="AN57">
            <v>0</v>
          </cell>
        </row>
        <row r="58">
          <cell r="F58" t="str">
            <v xml:space="preserve">PRABHAKAR NAIKWADE </v>
          </cell>
          <cell r="G58" t="str">
            <v xml:space="preserve">HE </v>
          </cell>
          <cell r="H58">
            <v>0</v>
          </cell>
          <cell r="I58">
            <v>1</v>
          </cell>
          <cell r="J58">
            <v>0.5</v>
          </cell>
          <cell r="K58">
            <v>1</v>
          </cell>
          <cell r="L58">
            <v>1</v>
          </cell>
          <cell r="M58">
            <v>0</v>
          </cell>
          <cell r="N58">
            <v>1</v>
          </cell>
          <cell r="O58">
            <v>1</v>
          </cell>
          <cell r="P58">
            <v>1</v>
          </cell>
          <cell r="Q58">
            <v>1</v>
          </cell>
          <cell r="R58">
            <v>1</v>
          </cell>
          <cell r="S58">
            <v>0</v>
          </cell>
          <cell r="T58">
            <v>0</v>
          </cell>
          <cell r="U58">
            <v>1</v>
          </cell>
          <cell r="V58">
            <v>1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1</v>
          </cell>
          <cell r="AB58">
            <v>0</v>
          </cell>
          <cell r="AC58">
            <v>0</v>
          </cell>
          <cell r="AD58">
            <v>1</v>
          </cell>
          <cell r="AE58">
            <v>1</v>
          </cell>
          <cell r="AF58">
            <v>1</v>
          </cell>
          <cell r="AG58">
            <v>1</v>
          </cell>
          <cell r="AH58">
            <v>0</v>
          </cell>
          <cell r="AI58">
            <v>1</v>
          </cell>
          <cell r="AJ58">
            <v>1</v>
          </cell>
          <cell r="AK58">
            <v>1</v>
          </cell>
          <cell r="AL58">
            <v>1</v>
          </cell>
          <cell r="AM58">
            <v>23.5</v>
          </cell>
          <cell r="AN58">
            <v>0</v>
          </cell>
        </row>
        <row r="59">
          <cell r="F59" t="str">
            <v>SANJAY GOPINATH BANDGAR</v>
          </cell>
          <cell r="G59" t="str">
            <v xml:space="preserve">HE 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</row>
        <row r="60">
          <cell r="F60" t="str">
            <v>ARJUN HIRACHAND BANDAGAR</v>
          </cell>
          <cell r="G60" t="str">
            <v xml:space="preserve">HE </v>
          </cell>
          <cell r="H60">
            <v>0</v>
          </cell>
          <cell r="I60">
            <v>0</v>
          </cell>
          <cell r="J60">
            <v>1</v>
          </cell>
          <cell r="K60">
            <v>1</v>
          </cell>
          <cell r="L60">
            <v>1</v>
          </cell>
          <cell r="M60">
            <v>0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0</v>
          </cell>
          <cell r="U60">
            <v>0.5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0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0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24.5</v>
          </cell>
          <cell r="AN60">
            <v>0</v>
          </cell>
        </row>
        <row r="61">
          <cell r="F61" t="str">
            <v>AJAY KANAKI</v>
          </cell>
          <cell r="G61" t="str">
            <v xml:space="preserve">HE 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1</v>
          </cell>
          <cell r="AH61">
            <v>0</v>
          </cell>
          <cell r="AI61">
            <v>0</v>
          </cell>
          <cell r="AJ61">
            <v>1</v>
          </cell>
          <cell r="AK61">
            <v>1</v>
          </cell>
          <cell r="AL61">
            <v>1</v>
          </cell>
          <cell r="AM61">
            <v>9</v>
          </cell>
          <cell r="AN61">
            <v>0</v>
          </cell>
        </row>
        <row r="62">
          <cell r="F62" t="str">
            <v>YUPENDRA KUMAR SANT</v>
          </cell>
          <cell r="G62" t="str">
            <v xml:space="preserve">HE </v>
          </cell>
          <cell r="H62">
            <v>0</v>
          </cell>
          <cell r="I62">
            <v>1</v>
          </cell>
          <cell r="J62">
            <v>1</v>
          </cell>
          <cell r="K62">
            <v>1</v>
          </cell>
          <cell r="L62">
            <v>1</v>
          </cell>
          <cell r="M62">
            <v>0</v>
          </cell>
          <cell r="N62">
            <v>1</v>
          </cell>
          <cell r="O62">
            <v>1</v>
          </cell>
          <cell r="P62">
            <v>0</v>
          </cell>
          <cell r="Q62">
            <v>0</v>
          </cell>
          <cell r="R62">
            <v>2</v>
          </cell>
          <cell r="S62">
            <v>1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9</v>
          </cell>
          <cell r="AN62">
            <v>0</v>
          </cell>
        </row>
        <row r="63">
          <cell r="F63" t="str">
            <v>WAGHMARE  SUNIL GANPAT</v>
          </cell>
          <cell r="G63" t="str">
            <v xml:space="preserve">HE 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1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1</v>
          </cell>
          <cell r="AN63">
            <v>0</v>
          </cell>
        </row>
        <row r="64">
          <cell r="F64" t="str">
            <v>KISHOR JYOTIBA MORE</v>
          </cell>
          <cell r="G64" t="str">
            <v xml:space="preserve">SHOT BLAST 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2</v>
          </cell>
          <cell r="M64">
            <v>0</v>
          </cell>
          <cell r="N64">
            <v>1</v>
          </cell>
          <cell r="O64">
            <v>1</v>
          </cell>
          <cell r="P64">
            <v>2</v>
          </cell>
          <cell r="Q64">
            <v>0</v>
          </cell>
          <cell r="R64">
            <v>1</v>
          </cell>
          <cell r="S64">
            <v>1</v>
          </cell>
          <cell r="T64">
            <v>0</v>
          </cell>
          <cell r="U64">
            <v>1</v>
          </cell>
          <cell r="V64">
            <v>1</v>
          </cell>
          <cell r="W64">
            <v>1</v>
          </cell>
          <cell r="X64">
            <v>0</v>
          </cell>
          <cell r="Y64">
            <v>1</v>
          </cell>
          <cell r="Z64">
            <v>1</v>
          </cell>
          <cell r="AA64">
            <v>0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24</v>
          </cell>
          <cell r="AN64">
            <v>0</v>
          </cell>
        </row>
        <row r="65">
          <cell r="F65" t="str">
            <v>LANDAGE SHAVARSIDHA KHANDAPPA</v>
          </cell>
          <cell r="G65" t="str">
            <v xml:space="preserve">SHOT BLAST </v>
          </cell>
          <cell r="H65">
            <v>0</v>
          </cell>
          <cell r="I65">
            <v>1</v>
          </cell>
          <cell r="J65">
            <v>0</v>
          </cell>
          <cell r="K65">
            <v>1</v>
          </cell>
          <cell r="L65">
            <v>0</v>
          </cell>
          <cell r="M65">
            <v>0</v>
          </cell>
          <cell r="N65">
            <v>1</v>
          </cell>
          <cell r="O65">
            <v>1</v>
          </cell>
          <cell r="P65">
            <v>1</v>
          </cell>
          <cell r="Q65">
            <v>1</v>
          </cell>
          <cell r="R65">
            <v>1</v>
          </cell>
          <cell r="S65">
            <v>1</v>
          </cell>
          <cell r="T65">
            <v>0</v>
          </cell>
          <cell r="U65">
            <v>1</v>
          </cell>
          <cell r="V65">
            <v>1</v>
          </cell>
          <cell r="W65">
            <v>1</v>
          </cell>
          <cell r="X65">
            <v>1</v>
          </cell>
          <cell r="Y65">
            <v>2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  <cell r="AF65">
            <v>1</v>
          </cell>
          <cell r="AG65">
            <v>1</v>
          </cell>
          <cell r="AH65">
            <v>1</v>
          </cell>
          <cell r="AI65">
            <v>2</v>
          </cell>
          <cell r="AJ65">
            <v>1</v>
          </cell>
          <cell r="AK65">
            <v>1</v>
          </cell>
          <cell r="AL65">
            <v>1</v>
          </cell>
          <cell r="AM65">
            <v>28</v>
          </cell>
          <cell r="AN65">
            <v>500</v>
          </cell>
        </row>
        <row r="66">
          <cell r="F66" t="str">
            <v>DNYANESHWAR  BHAGVANT WAGHMARE</v>
          </cell>
          <cell r="G66" t="str">
            <v xml:space="preserve">SHOT BLAST </v>
          </cell>
          <cell r="H66">
            <v>0</v>
          </cell>
          <cell r="I66">
            <v>1</v>
          </cell>
          <cell r="J66">
            <v>2</v>
          </cell>
          <cell r="K66">
            <v>1</v>
          </cell>
          <cell r="L66">
            <v>1</v>
          </cell>
          <cell r="M66">
            <v>1</v>
          </cell>
          <cell r="N66">
            <v>1</v>
          </cell>
          <cell r="O66">
            <v>1</v>
          </cell>
          <cell r="P66">
            <v>1</v>
          </cell>
          <cell r="Q66">
            <v>1</v>
          </cell>
          <cell r="R66">
            <v>1</v>
          </cell>
          <cell r="S66">
            <v>1</v>
          </cell>
          <cell r="T66">
            <v>1</v>
          </cell>
          <cell r="U66">
            <v>1</v>
          </cell>
          <cell r="V66">
            <v>1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0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  <cell r="AM66">
            <v>30</v>
          </cell>
          <cell r="AN66">
            <v>2500</v>
          </cell>
        </row>
        <row r="67">
          <cell r="F67" t="str">
            <v>ABHIJEET PIRAPPA  WAGHMARE</v>
          </cell>
          <cell r="G67" t="str">
            <v xml:space="preserve">SHOT BLAST </v>
          </cell>
          <cell r="H67">
            <v>0</v>
          </cell>
          <cell r="I67">
            <v>1</v>
          </cell>
          <cell r="J67">
            <v>1</v>
          </cell>
          <cell r="K67">
            <v>1</v>
          </cell>
          <cell r="L67">
            <v>1</v>
          </cell>
          <cell r="M67">
            <v>1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1</v>
          </cell>
          <cell r="S67">
            <v>1</v>
          </cell>
          <cell r="T67">
            <v>0</v>
          </cell>
          <cell r="U67">
            <v>0</v>
          </cell>
          <cell r="V67">
            <v>0</v>
          </cell>
          <cell r="W67">
            <v>1</v>
          </cell>
          <cell r="X67">
            <v>1</v>
          </cell>
          <cell r="Y67">
            <v>0</v>
          </cell>
          <cell r="Z67">
            <v>0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0</v>
          </cell>
          <cell r="AH67">
            <v>0</v>
          </cell>
          <cell r="AI67">
            <v>0</v>
          </cell>
          <cell r="AJ67">
            <v>1</v>
          </cell>
          <cell r="AK67">
            <v>1</v>
          </cell>
          <cell r="AL67">
            <v>1</v>
          </cell>
          <cell r="AM67">
            <v>22</v>
          </cell>
          <cell r="AN67">
            <v>0</v>
          </cell>
        </row>
        <row r="68">
          <cell r="F68" t="str">
            <v>PATHAN SHAHNAVAJ MURTUJ</v>
          </cell>
          <cell r="G68" t="str">
            <v xml:space="preserve">SHOT BLAST </v>
          </cell>
          <cell r="H68">
            <v>0</v>
          </cell>
          <cell r="I68">
            <v>1</v>
          </cell>
          <cell r="J68">
            <v>1</v>
          </cell>
          <cell r="K68">
            <v>1</v>
          </cell>
          <cell r="L68">
            <v>1</v>
          </cell>
          <cell r="M68">
            <v>0</v>
          </cell>
          <cell r="N68">
            <v>1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0</v>
          </cell>
          <cell r="AB68">
            <v>1</v>
          </cell>
          <cell r="AC68">
            <v>1</v>
          </cell>
          <cell r="AD68">
            <v>2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18</v>
          </cell>
          <cell r="AN68">
            <v>0</v>
          </cell>
        </row>
        <row r="69">
          <cell r="F69" t="str">
            <v>BASVRAJ SOMNATH KARKALE</v>
          </cell>
          <cell r="G69" t="str">
            <v xml:space="preserve">SHOT BLAST </v>
          </cell>
          <cell r="H69">
            <v>0</v>
          </cell>
          <cell r="I69">
            <v>1</v>
          </cell>
          <cell r="J69">
            <v>1</v>
          </cell>
          <cell r="K69">
            <v>1</v>
          </cell>
          <cell r="L69">
            <v>1</v>
          </cell>
          <cell r="M69">
            <v>0</v>
          </cell>
          <cell r="N69">
            <v>1</v>
          </cell>
          <cell r="O69">
            <v>1</v>
          </cell>
          <cell r="P69">
            <v>1</v>
          </cell>
          <cell r="Q69">
            <v>1</v>
          </cell>
          <cell r="R69">
            <v>1</v>
          </cell>
          <cell r="S69">
            <v>1</v>
          </cell>
          <cell r="T69">
            <v>0</v>
          </cell>
          <cell r="U69">
            <v>1</v>
          </cell>
          <cell r="V69">
            <v>0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A69">
            <v>0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F69">
            <v>1</v>
          </cell>
          <cell r="AG69">
            <v>1</v>
          </cell>
          <cell r="AH69">
            <v>0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  <cell r="AM69">
            <v>25</v>
          </cell>
          <cell r="AN69">
            <v>500</v>
          </cell>
        </row>
        <row r="70">
          <cell r="F70" t="str">
            <v xml:space="preserve">SUFIYAN FULARI </v>
          </cell>
          <cell r="G70" t="str">
            <v xml:space="preserve">SHOT BLAST </v>
          </cell>
          <cell r="H70">
            <v>0</v>
          </cell>
          <cell r="I70">
            <v>1</v>
          </cell>
          <cell r="J70">
            <v>1</v>
          </cell>
          <cell r="K70">
            <v>1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0</v>
          </cell>
          <cell r="Q70">
            <v>0</v>
          </cell>
          <cell r="R70">
            <v>0</v>
          </cell>
          <cell r="S70">
            <v>1</v>
          </cell>
          <cell r="T70">
            <v>1</v>
          </cell>
          <cell r="U70">
            <v>1</v>
          </cell>
          <cell r="V70">
            <v>1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1</v>
          </cell>
          <cell r="AE70">
            <v>1</v>
          </cell>
          <cell r="AF70">
            <v>1</v>
          </cell>
          <cell r="AG70">
            <v>1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1</v>
          </cell>
          <cell r="AM70">
            <v>16</v>
          </cell>
          <cell r="AN70">
            <v>0</v>
          </cell>
        </row>
        <row r="71">
          <cell r="F71" t="str">
            <v>SAGAR BASVRAJ ARJUN</v>
          </cell>
          <cell r="G71" t="str">
            <v xml:space="preserve">REWORK </v>
          </cell>
          <cell r="H71">
            <v>0</v>
          </cell>
          <cell r="I71">
            <v>1</v>
          </cell>
          <cell r="J71">
            <v>1</v>
          </cell>
          <cell r="K71">
            <v>0</v>
          </cell>
          <cell r="L71">
            <v>0</v>
          </cell>
          <cell r="M71">
            <v>0</v>
          </cell>
          <cell r="N71">
            <v>1</v>
          </cell>
          <cell r="O71">
            <v>1</v>
          </cell>
          <cell r="P71">
            <v>0</v>
          </cell>
          <cell r="Q71">
            <v>0</v>
          </cell>
          <cell r="R71">
            <v>1</v>
          </cell>
          <cell r="S71">
            <v>1</v>
          </cell>
          <cell r="T71">
            <v>0</v>
          </cell>
          <cell r="U71">
            <v>0</v>
          </cell>
          <cell r="V71">
            <v>0</v>
          </cell>
          <cell r="W71">
            <v>1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1</v>
          </cell>
          <cell r="AC71">
            <v>1</v>
          </cell>
          <cell r="AD71">
            <v>1</v>
          </cell>
          <cell r="AE71">
            <v>0</v>
          </cell>
          <cell r="AF71">
            <v>0.5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1</v>
          </cell>
          <cell r="AL71">
            <v>1</v>
          </cell>
          <cell r="AM71">
            <v>12.5</v>
          </cell>
          <cell r="AN71">
            <v>0</v>
          </cell>
        </row>
        <row r="72">
          <cell r="F72" t="str">
            <v>GHANTE SACHIN BHAGWAN</v>
          </cell>
          <cell r="G72" t="str">
            <v xml:space="preserve">REWORK </v>
          </cell>
          <cell r="H72">
            <v>0</v>
          </cell>
          <cell r="I72">
            <v>1</v>
          </cell>
          <cell r="J72">
            <v>1</v>
          </cell>
          <cell r="K72">
            <v>1</v>
          </cell>
          <cell r="L72">
            <v>2</v>
          </cell>
          <cell r="M72">
            <v>0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0</v>
          </cell>
          <cell r="U72">
            <v>0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0</v>
          </cell>
          <cell r="AB72">
            <v>0</v>
          </cell>
          <cell r="AC72">
            <v>0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0</v>
          </cell>
          <cell r="AJ72">
            <v>1</v>
          </cell>
          <cell r="AK72">
            <v>1</v>
          </cell>
          <cell r="AL72">
            <v>1</v>
          </cell>
          <cell r="AM72">
            <v>24</v>
          </cell>
          <cell r="AN72">
            <v>0</v>
          </cell>
        </row>
        <row r="73">
          <cell r="F73" t="str">
            <v>CHOUGULE HRUSHIKESH CHANDRAKANT</v>
          </cell>
          <cell r="G73" t="str">
            <v xml:space="preserve">REWORK </v>
          </cell>
          <cell r="H73">
            <v>0</v>
          </cell>
          <cell r="I73">
            <v>1</v>
          </cell>
          <cell r="J73">
            <v>1</v>
          </cell>
          <cell r="K73">
            <v>1</v>
          </cell>
          <cell r="L73">
            <v>1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1</v>
          </cell>
          <cell r="R73">
            <v>1</v>
          </cell>
          <cell r="S73">
            <v>1</v>
          </cell>
          <cell r="T73">
            <v>0</v>
          </cell>
          <cell r="U73">
            <v>1</v>
          </cell>
          <cell r="V73">
            <v>1</v>
          </cell>
          <cell r="W73">
            <v>1</v>
          </cell>
          <cell r="X73">
            <v>1</v>
          </cell>
          <cell r="Y73">
            <v>1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0</v>
          </cell>
          <cell r="AE73">
            <v>1</v>
          </cell>
          <cell r="AF73">
            <v>1</v>
          </cell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0</v>
          </cell>
          <cell r="AL73">
            <v>1</v>
          </cell>
          <cell r="AM73">
            <v>23</v>
          </cell>
          <cell r="AN73">
            <v>0</v>
          </cell>
        </row>
        <row r="74">
          <cell r="F74" t="str">
            <v>MUSTAK RASHID SHAIKH</v>
          </cell>
          <cell r="G74" t="str">
            <v xml:space="preserve">REWORK </v>
          </cell>
          <cell r="H74">
            <v>0</v>
          </cell>
          <cell r="I74">
            <v>1</v>
          </cell>
          <cell r="J74">
            <v>1</v>
          </cell>
          <cell r="K74">
            <v>1</v>
          </cell>
          <cell r="L74">
            <v>1</v>
          </cell>
          <cell r="M74">
            <v>0</v>
          </cell>
          <cell r="N74">
            <v>1</v>
          </cell>
          <cell r="O74">
            <v>1</v>
          </cell>
          <cell r="P74">
            <v>1</v>
          </cell>
          <cell r="Q74">
            <v>1</v>
          </cell>
          <cell r="R74">
            <v>1</v>
          </cell>
          <cell r="S74">
            <v>1</v>
          </cell>
          <cell r="T74">
            <v>0</v>
          </cell>
          <cell r="U74">
            <v>1</v>
          </cell>
          <cell r="V74">
            <v>1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0</v>
          </cell>
          <cell r="AB74">
            <v>0</v>
          </cell>
          <cell r="AC74">
            <v>1</v>
          </cell>
          <cell r="AD74">
            <v>1</v>
          </cell>
          <cell r="AE74">
            <v>1</v>
          </cell>
          <cell r="AF74">
            <v>1</v>
          </cell>
          <cell r="AG74">
            <v>1</v>
          </cell>
          <cell r="AH74">
            <v>0</v>
          </cell>
          <cell r="AI74">
            <v>0</v>
          </cell>
          <cell r="AJ74">
            <v>0</v>
          </cell>
          <cell r="AK74">
            <v>1</v>
          </cell>
          <cell r="AL74">
            <v>0.5</v>
          </cell>
          <cell r="AM74">
            <v>22.5</v>
          </cell>
          <cell r="AN74">
            <v>0</v>
          </cell>
        </row>
        <row r="75">
          <cell r="F75" t="str">
            <v>SOHEL  SAHEBLAL JAMADAR</v>
          </cell>
          <cell r="G75" t="str">
            <v xml:space="preserve">REWORK </v>
          </cell>
          <cell r="H75">
            <v>0</v>
          </cell>
          <cell r="I75">
            <v>1</v>
          </cell>
          <cell r="J75">
            <v>1</v>
          </cell>
          <cell r="K75">
            <v>1</v>
          </cell>
          <cell r="L75">
            <v>1</v>
          </cell>
          <cell r="M75">
            <v>0</v>
          </cell>
          <cell r="N75">
            <v>1</v>
          </cell>
          <cell r="O75">
            <v>1</v>
          </cell>
          <cell r="P75">
            <v>2</v>
          </cell>
          <cell r="Q75">
            <v>0.5</v>
          </cell>
          <cell r="R75">
            <v>1</v>
          </cell>
          <cell r="S75">
            <v>1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1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0</v>
          </cell>
          <cell r="AF75">
            <v>0</v>
          </cell>
          <cell r="AG75">
            <v>1</v>
          </cell>
          <cell r="AH75">
            <v>1</v>
          </cell>
          <cell r="AI75">
            <v>0</v>
          </cell>
          <cell r="AJ75">
            <v>0</v>
          </cell>
          <cell r="AK75">
            <v>1</v>
          </cell>
          <cell r="AL75">
            <v>1</v>
          </cell>
          <cell r="AM75">
            <v>20.5</v>
          </cell>
          <cell r="AN75">
            <v>0</v>
          </cell>
        </row>
        <row r="76">
          <cell r="F76" t="str">
            <v>ARBAJ  AMIN JAMADAR</v>
          </cell>
          <cell r="G76" t="str">
            <v xml:space="preserve">REWORK </v>
          </cell>
          <cell r="H76">
            <v>0</v>
          </cell>
          <cell r="I76">
            <v>1</v>
          </cell>
          <cell r="J76">
            <v>1</v>
          </cell>
          <cell r="K76">
            <v>1</v>
          </cell>
          <cell r="L76">
            <v>1</v>
          </cell>
          <cell r="M76">
            <v>0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8</v>
          </cell>
          <cell r="AN76">
            <v>0</v>
          </cell>
        </row>
        <row r="77">
          <cell r="F77" t="str">
            <v>HIREMATH MANIK GURULINGAYA</v>
          </cell>
          <cell r="G77" t="str">
            <v xml:space="preserve">REWORK </v>
          </cell>
          <cell r="H77">
            <v>0</v>
          </cell>
          <cell r="I77">
            <v>1</v>
          </cell>
          <cell r="J77">
            <v>1</v>
          </cell>
          <cell r="K77">
            <v>1</v>
          </cell>
          <cell r="L77">
            <v>1</v>
          </cell>
          <cell r="M77">
            <v>0</v>
          </cell>
          <cell r="N77">
            <v>1</v>
          </cell>
          <cell r="O77">
            <v>1</v>
          </cell>
          <cell r="P77">
            <v>1</v>
          </cell>
          <cell r="Q77">
            <v>0</v>
          </cell>
          <cell r="R77">
            <v>1</v>
          </cell>
          <cell r="S77">
            <v>1</v>
          </cell>
          <cell r="T77">
            <v>0</v>
          </cell>
          <cell r="U77">
            <v>1</v>
          </cell>
          <cell r="V77">
            <v>1</v>
          </cell>
          <cell r="W77">
            <v>1</v>
          </cell>
          <cell r="X77">
            <v>1</v>
          </cell>
          <cell r="Y77">
            <v>1</v>
          </cell>
          <cell r="Z77">
            <v>1</v>
          </cell>
          <cell r="AA77">
            <v>0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  <cell r="AF77">
            <v>1</v>
          </cell>
          <cell r="AG77">
            <v>1</v>
          </cell>
          <cell r="AH77">
            <v>0</v>
          </cell>
          <cell r="AI77">
            <v>1</v>
          </cell>
          <cell r="AJ77">
            <v>1</v>
          </cell>
          <cell r="AK77">
            <v>1</v>
          </cell>
          <cell r="AL77">
            <v>1</v>
          </cell>
          <cell r="AM77">
            <v>25</v>
          </cell>
          <cell r="AN77">
            <v>500</v>
          </cell>
        </row>
        <row r="78">
          <cell r="F78" t="str">
            <v>DOMBE SIDRAM</v>
          </cell>
          <cell r="G78" t="str">
            <v xml:space="preserve">REWORK </v>
          </cell>
          <cell r="H78">
            <v>0</v>
          </cell>
          <cell r="I78">
            <v>1</v>
          </cell>
          <cell r="J78">
            <v>1</v>
          </cell>
          <cell r="K78">
            <v>1</v>
          </cell>
          <cell r="L78">
            <v>1</v>
          </cell>
          <cell r="M78">
            <v>0</v>
          </cell>
          <cell r="N78">
            <v>1</v>
          </cell>
          <cell r="O78">
            <v>1</v>
          </cell>
          <cell r="P78">
            <v>1</v>
          </cell>
          <cell r="Q78">
            <v>1</v>
          </cell>
          <cell r="R78">
            <v>1</v>
          </cell>
          <cell r="S78">
            <v>1</v>
          </cell>
          <cell r="T78">
            <v>0</v>
          </cell>
          <cell r="U78">
            <v>1</v>
          </cell>
          <cell r="V78">
            <v>1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0</v>
          </cell>
          <cell r="AB78">
            <v>1</v>
          </cell>
          <cell r="AC78">
            <v>1</v>
          </cell>
          <cell r="AD78">
            <v>0</v>
          </cell>
          <cell r="AE78">
            <v>1</v>
          </cell>
          <cell r="AF78">
            <v>0</v>
          </cell>
          <cell r="AG78">
            <v>0</v>
          </cell>
          <cell r="AH78">
            <v>0</v>
          </cell>
          <cell r="AI78">
            <v>1</v>
          </cell>
          <cell r="AJ78">
            <v>1</v>
          </cell>
          <cell r="AK78">
            <v>1</v>
          </cell>
          <cell r="AL78">
            <v>1</v>
          </cell>
          <cell r="AM78">
            <v>23</v>
          </cell>
          <cell r="AN78">
            <v>0</v>
          </cell>
        </row>
        <row r="79">
          <cell r="F79" t="str">
            <v>VISHAL MOHAN MANE</v>
          </cell>
          <cell r="G79" t="str">
            <v xml:space="preserve">REWORK </v>
          </cell>
          <cell r="H79">
            <v>0</v>
          </cell>
          <cell r="I79">
            <v>0</v>
          </cell>
          <cell r="J79">
            <v>0</v>
          </cell>
          <cell r="K79">
            <v>1</v>
          </cell>
          <cell r="L79">
            <v>1</v>
          </cell>
          <cell r="M79">
            <v>0</v>
          </cell>
          <cell r="N79">
            <v>1</v>
          </cell>
          <cell r="O79">
            <v>1</v>
          </cell>
          <cell r="P79">
            <v>0</v>
          </cell>
          <cell r="Q79">
            <v>0</v>
          </cell>
          <cell r="R79">
            <v>1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1</v>
          </cell>
          <cell r="X79">
            <v>0</v>
          </cell>
          <cell r="Y79">
            <v>1</v>
          </cell>
          <cell r="Z79">
            <v>1</v>
          </cell>
          <cell r="AA79">
            <v>0</v>
          </cell>
          <cell r="AB79">
            <v>0</v>
          </cell>
          <cell r="AC79">
            <v>1</v>
          </cell>
          <cell r="AD79">
            <v>1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1</v>
          </cell>
          <cell r="AJ79">
            <v>1</v>
          </cell>
          <cell r="AK79">
            <v>0</v>
          </cell>
          <cell r="AL79">
            <v>0</v>
          </cell>
          <cell r="AM79">
            <v>12</v>
          </cell>
          <cell r="AN79">
            <v>0</v>
          </cell>
        </row>
        <row r="80">
          <cell r="F80" t="str">
            <v>JADHAV PUNDLIK C</v>
          </cell>
          <cell r="G80" t="str">
            <v xml:space="preserve">REWORK </v>
          </cell>
          <cell r="H80">
            <v>1</v>
          </cell>
          <cell r="I80">
            <v>0</v>
          </cell>
          <cell r="J80">
            <v>1</v>
          </cell>
          <cell r="K80">
            <v>1</v>
          </cell>
          <cell r="L80">
            <v>1</v>
          </cell>
          <cell r="M80">
            <v>0</v>
          </cell>
          <cell r="N80">
            <v>1</v>
          </cell>
          <cell r="O80">
            <v>0</v>
          </cell>
          <cell r="P80">
            <v>1</v>
          </cell>
          <cell r="Q80">
            <v>1</v>
          </cell>
          <cell r="R80">
            <v>0</v>
          </cell>
          <cell r="S80">
            <v>1</v>
          </cell>
          <cell r="T80">
            <v>0.5</v>
          </cell>
          <cell r="U80">
            <v>1</v>
          </cell>
          <cell r="V80">
            <v>1</v>
          </cell>
          <cell r="W80">
            <v>1</v>
          </cell>
          <cell r="X80">
            <v>0</v>
          </cell>
          <cell r="Y80">
            <v>0</v>
          </cell>
          <cell r="Z80">
            <v>2</v>
          </cell>
          <cell r="AA80">
            <v>0</v>
          </cell>
          <cell r="AB80">
            <v>2</v>
          </cell>
          <cell r="AC80">
            <v>1</v>
          </cell>
          <cell r="AD80">
            <v>2</v>
          </cell>
          <cell r="AE80">
            <v>1</v>
          </cell>
          <cell r="AF80">
            <v>0.5</v>
          </cell>
          <cell r="AG80">
            <v>1</v>
          </cell>
          <cell r="AH80">
            <v>0</v>
          </cell>
          <cell r="AI80">
            <v>0</v>
          </cell>
          <cell r="AJ80">
            <v>1</v>
          </cell>
          <cell r="AK80">
            <v>1</v>
          </cell>
          <cell r="AL80">
            <v>1</v>
          </cell>
          <cell r="AM80">
            <v>24</v>
          </cell>
          <cell r="AN80">
            <v>0</v>
          </cell>
        </row>
        <row r="81">
          <cell r="F81" t="str">
            <v>BHARAT SANTOSH SARADE</v>
          </cell>
          <cell r="G81" t="str">
            <v xml:space="preserve">PAINTER </v>
          </cell>
          <cell r="H81">
            <v>0</v>
          </cell>
          <cell r="I81">
            <v>1</v>
          </cell>
          <cell r="J81">
            <v>1</v>
          </cell>
          <cell r="K81">
            <v>2</v>
          </cell>
          <cell r="L81">
            <v>1</v>
          </cell>
          <cell r="M81">
            <v>0</v>
          </cell>
          <cell r="N81">
            <v>1</v>
          </cell>
          <cell r="O81">
            <v>1</v>
          </cell>
          <cell r="P81">
            <v>1</v>
          </cell>
          <cell r="Q81">
            <v>1</v>
          </cell>
          <cell r="R81">
            <v>1</v>
          </cell>
          <cell r="S81">
            <v>1</v>
          </cell>
          <cell r="T81">
            <v>0.5</v>
          </cell>
          <cell r="U81">
            <v>1</v>
          </cell>
          <cell r="V81">
            <v>1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0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  <cell r="AM81">
            <v>28.5</v>
          </cell>
          <cell r="AN81">
            <v>2500</v>
          </cell>
        </row>
        <row r="82">
          <cell r="F82" t="str">
            <v>SHARNAPPA KHEDAGIKAR</v>
          </cell>
          <cell r="G82" t="str">
            <v xml:space="preserve">PAINTER </v>
          </cell>
          <cell r="H82">
            <v>0</v>
          </cell>
          <cell r="I82">
            <v>1</v>
          </cell>
          <cell r="J82">
            <v>1</v>
          </cell>
          <cell r="K82">
            <v>1</v>
          </cell>
          <cell r="L82">
            <v>1</v>
          </cell>
          <cell r="M82">
            <v>0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0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  <cell r="AF82">
            <v>1</v>
          </cell>
          <cell r="AG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28</v>
          </cell>
          <cell r="AN82">
            <v>2500</v>
          </cell>
        </row>
        <row r="83">
          <cell r="F83" t="str">
            <v>SONAWANE NAGNATH KASHINATH</v>
          </cell>
          <cell r="G83" t="str">
            <v xml:space="preserve">PAINTER </v>
          </cell>
          <cell r="H83">
            <v>0</v>
          </cell>
          <cell r="I83">
            <v>1</v>
          </cell>
          <cell r="J83">
            <v>1</v>
          </cell>
          <cell r="K83">
            <v>2</v>
          </cell>
          <cell r="L83">
            <v>2</v>
          </cell>
          <cell r="M83">
            <v>0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2</v>
          </cell>
          <cell r="Y83">
            <v>0</v>
          </cell>
          <cell r="Z83">
            <v>0</v>
          </cell>
          <cell r="AA83">
            <v>1</v>
          </cell>
          <cell r="AB83">
            <v>2</v>
          </cell>
          <cell r="AC83">
            <v>1</v>
          </cell>
          <cell r="AD83">
            <v>1</v>
          </cell>
          <cell r="AE83">
            <v>1</v>
          </cell>
          <cell r="AF83">
            <v>1</v>
          </cell>
          <cell r="AG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0</v>
          </cell>
          <cell r="AL83">
            <v>0</v>
          </cell>
          <cell r="AM83">
            <v>29</v>
          </cell>
          <cell r="AN83">
            <v>0</v>
          </cell>
        </row>
        <row r="84">
          <cell r="F84" t="str">
            <v>SUDHAKAR BHIMASHANKAR KOGANURE</v>
          </cell>
          <cell r="G84" t="str">
            <v xml:space="preserve">PAINTER </v>
          </cell>
          <cell r="H84">
            <v>0</v>
          </cell>
          <cell r="I84">
            <v>0</v>
          </cell>
          <cell r="J84">
            <v>0</v>
          </cell>
          <cell r="K84">
            <v>1</v>
          </cell>
          <cell r="L84">
            <v>1</v>
          </cell>
          <cell r="M84">
            <v>1</v>
          </cell>
          <cell r="N84">
            <v>1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0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0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M84">
            <v>26</v>
          </cell>
          <cell r="AN84">
            <v>500</v>
          </cell>
        </row>
        <row r="85">
          <cell r="F85" t="str">
            <v>BASAVRAJ SHIVANNA KOLI</v>
          </cell>
          <cell r="G85" t="str">
            <v xml:space="preserve">PAINTER </v>
          </cell>
          <cell r="H85">
            <v>0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0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0</v>
          </cell>
          <cell r="S85">
            <v>0</v>
          </cell>
          <cell r="T85">
            <v>0</v>
          </cell>
          <cell r="U85">
            <v>1</v>
          </cell>
          <cell r="V85">
            <v>0</v>
          </cell>
          <cell r="W85">
            <v>1</v>
          </cell>
          <cell r="X85">
            <v>1</v>
          </cell>
          <cell r="Y85">
            <v>0</v>
          </cell>
          <cell r="Z85">
            <v>1</v>
          </cell>
          <cell r="AA85">
            <v>0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0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22</v>
          </cell>
          <cell r="AN85">
            <v>0</v>
          </cell>
        </row>
        <row r="86">
          <cell r="F86" t="str">
            <v>KUMBHAR PRAKASH SHEMNIG</v>
          </cell>
          <cell r="G86" t="str">
            <v xml:space="preserve">PAINTER </v>
          </cell>
          <cell r="H86">
            <v>0</v>
          </cell>
          <cell r="I86">
            <v>1</v>
          </cell>
          <cell r="J86">
            <v>0</v>
          </cell>
          <cell r="K86">
            <v>1</v>
          </cell>
          <cell r="L86">
            <v>1</v>
          </cell>
          <cell r="M86">
            <v>1</v>
          </cell>
          <cell r="N86">
            <v>1</v>
          </cell>
          <cell r="O86">
            <v>1</v>
          </cell>
          <cell r="P86">
            <v>1</v>
          </cell>
          <cell r="Q86">
            <v>1</v>
          </cell>
          <cell r="R86">
            <v>0</v>
          </cell>
          <cell r="S86">
            <v>1</v>
          </cell>
          <cell r="T86">
            <v>0</v>
          </cell>
          <cell r="U86">
            <v>1</v>
          </cell>
          <cell r="V86">
            <v>1</v>
          </cell>
          <cell r="W86">
            <v>0</v>
          </cell>
          <cell r="X86">
            <v>0</v>
          </cell>
          <cell r="Y86">
            <v>1</v>
          </cell>
          <cell r="Z86">
            <v>1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  <cell r="AM86">
            <v>19</v>
          </cell>
          <cell r="AN86">
            <v>0</v>
          </cell>
        </row>
        <row r="87">
          <cell r="F87" t="str">
            <v>GENSIDHHA AMASIDHHA VAMANE</v>
          </cell>
          <cell r="G87" t="str">
            <v xml:space="preserve">PAINTER </v>
          </cell>
          <cell r="H87">
            <v>0</v>
          </cell>
          <cell r="I87">
            <v>0</v>
          </cell>
          <cell r="J87">
            <v>0</v>
          </cell>
          <cell r="K87">
            <v>1</v>
          </cell>
          <cell r="L87">
            <v>1</v>
          </cell>
          <cell r="M87">
            <v>0</v>
          </cell>
          <cell r="N87">
            <v>0</v>
          </cell>
          <cell r="O87">
            <v>2</v>
          </cell>
          <cell r="P87">
            <v>2</v>
          </cell>
          <cell r="Q87">
            <v>1</v>
          </cell>
          <cell r="R87">
            <v>2</v>
          </cell>
          <cell r="S87">
            <v>2</v>
          </cell>
          <cell r="T87">
            <v>0</v>
          </cell>
          <cell r="U87">
            <v>1</v>
          </cell>
          <cell r="V87">
            <v>1</v>
          </cell>
          <cell r="W87">
            <v>1</v>
          </cell>
          <cell r="X87">
            <v>1</v>
          </cell>
          <cell r="Y87">
            <v>1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0</v>
          </cell>
          <cell r="AE87">
            <v>1</v>
          </cell>
          <cell r="AF87">
            <v>0</v>
          </cell>
          <cell r="AG87">
            <v>1</v>
          </cell>
          <cell r="AH87">
            <v>0</v>
          </cell>
          <cell r="AI87">
            <v>1</v>
          </cell>
          <cell r="AJ87">
            <v>1</v>
          </cell>
          <cell r="AK87">
            <v>1</v>
          </cell>
          <cell r="AL87">
            <v>0</v>
          </cell>
          <cell r="AM87">
            <v>25</v>
          </cell>
          <cell r="AN87">
            <v>0</v>
          </cell>
        </row>
        <row r="88">
          <cell r="F88" t="str">
            <v>BASVRAJ SHRISHAIL SODDE</v>
          </cell>
          <cell r="G88" t="str">
            <v xml:space="preserve">PAINTER 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1</v>
          </cell>
          <cell r="Q88">
            <v>1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1</v>
          </cell>
          <cell r="Y88">
            <v>2</v>
          </cell>
          <cell r="Z88">
            <v>1</v>
          </cell>
          <cell r="AA88">
            <v>0</v>
          </cell>
          <cell r="AB88">
            <v>0</v>
          </cell>
          <cell r="AC88">
            <v>1</v>
          </cell>
          <cell r="AD88">
            <v>2</v>
          </cell>
          <cell r="AE88">
            <v>1</v>
          </cell>
          <cell r="AF88">
            <v>1</v>
          </cell>
          <cell r="AG88">
            <v>2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M88">
            <v>18</v>
          </cell>
          <cell r="AN88">
            <v>0</v>
          </cell>
        </row>
        <row r="89">
          <cell r="F89" t="str">
            <v>TOLNURE KASHINATH SIDHRAM</v>
          </cell>
          <cell r="G89" t="str">
            <v xml:space="preserve">PAINTER </v>
          </cell>
          <cell r="H89">
            <v>0</v>
          </cell>
          <cell r="I89">
            <v>1</v>
          </cell>
          <cell r="J89">
            <v>1</v>
          </cell>
          <cell r="K89">
            <v>1</v>
          </cell>
          <cell r="L89">
            <v>0</v>
          </cell>
          <cell r="M89">
            <v>0</v>
          </cell>
          <cell r="N89">
            <v>1</v>
          </cell>
          <cell r="O89">
            <v>1</v>
          </cell>
          <cell r="P89">
            <v>2</v>
          </cell>
          <cell r="Q89">
            <v>1</v>
          </cell>
          <cell r="R89">
            <v>1</v>
          </cell>
          <cell r="S89">
            <v>2</v>
          </cell>
          <cell r="T89">
            <v>0</v>
          </cell>
          <cell r="U89">
            <v>1</v>
          </cell>
          <cell r="V89">
            <v>1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0</v>
          </cell>
          <cell r="AB89">
            <v>0</v>
          </cell>
          <cell r="AC89">
            <v>1</v>
          </cell>
          <cell r="AD89">
            <v>1</v>
          </cell>
          <cell r="AE89">
            <v>1</v>
          </cell>
          <cell r="AF89">
            <v>1</v>
          </cell>
          <cell r="AG89">
            <v>1</v>
          </cell>
          <cell r="AH89">
            <v>0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  <cell r="AM89">
            <v>26</v>
          </cell>
          <cell r="AN89">
            <v>0</v>
          </cell>
        </row>
        <row r="90">
          <cell r="F90" t="str">
            <v>DHANRAJ DATTATRAY SHINDE</v>
          </cell>
          <cell r="G90" t="str">
            <v xml:space="preserve">GENERAL 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1</v>
          </cell>
          <cell r="P90">
            <v>1</v>
          </cell>
          <cell r="Q90">
            <v>1</v>
          </cell>
          <cell r="R90">
            <v>0</v>
          </cell>
          <cell r="S90">
            <v>1</v>
          </cell>
          <cell r="T90">
            <v>0</v>
          </cell>
          <cell r="U90">
            <v>1</v>
          </cell>
          <cell r="V90">
            <v>1</v>
          </cell>
          <cell r="W90">
            <v>1</v>
          </cell>
          <cell r="X90">
            <v>1</v>
          </cell>
          <cell r="Y90">
            <v>1</v>
          </cell>
          <cell r="Z90">
            <v>1</v>
          </cell>
          <cell r="AA90">
            <v>0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  <cell r="AF90">
            <v>1</v>
          </cell>
          <cell r="AG90">
            <v>1</v>
          </cell>
          <cell r="AH90">
            <v>1</v>
          </cell>
          <cell r="AI90">
            <v>1</v>
          </cell>
          <cell r="AJ90">
            <v>1</v>
          </cell>
          <cell r="AK90">
            <v>0</v>
          </cell>
          <cell r="AL90">
            <v>1</v>
          </cell>
          <cell r="AM90">
            <v>20</v>
          </cell>
          <cell r="AN90">
            <v>0</v>
          </cell>
        </row>
        <row r="91">
          <cell r="F91" t="str">
            <v>KATAKAR SAI MAHESH</v>
          </cell>
          <cell r="G91" t="str">
            <v xml:space="preserve">GENERAL 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</row>
        <row r="92">
          <cell r="F92" t="str">
            <v>RAHUL BALU CHAVAN</v>
          </cell>
          <cell r="G92" t="str">
            <v xml:space="preserve">GENERAL </v>
          </cell>
          <cell r="H92">
            <v>0</v>
          </cell>
          <cell r="I92">
            <v>1</v>
          </cell>
          <cell r="J92">
            <v>0.5</v>
          </cell>
          <cell r="K92">
            <v>0</v>
          </cell>
          <cell r="L92">
            <v>0</v>
          </cell>
          <cell r="M92">
            <v>0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0</v>
          </cell>
          <cell r="S92">
            <v>0</v>
          </cell>
          <cell r="T92">
            <v>0</v>
          </cell>
          <cell r="U92">
            <v>1</v>
          </cell>
          <cell r="V92">
            <v>1</v>
          </cell>
          <cell r="W92">
            <v>1</v>
          </cell>
          <cell r="X92">
            <v>0</v>
          </cell>
          <cell r="Y92">
            <v>1</v>
          </cell>
          <cell r="Z92">
            <v>1</v>
          </cell>
          <cell r="AA92">
            <v>0</v>
          </cell>
          <cell r="AB92">
            <v>1</v>
          </cell>
          <cell r="AC92">
            <v>0</v>
          </cell>
          <cell r="AD92">
            <v>1</v>
          </cell>
          <cell r="AE92">
            <v>1</v>
          </cell>
          <cell r="AF92">
            <v>1</v>
          </cell>
          <cell r="AG92">
            <v>1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15.5</v>
          </cell>
          <cell r="AN92">
            <v>0</v>
          </cell>
        </row>
        <row r="93">
          <cell r="F93" t="str">
            <v>NAGESH REVANSIDHHA BIRAJDAR</v>
          </cell>
          <cell r="G93" t="str">
            <v xml:space="preserve">GENERAL </v>
          </cell>
          <cell r="H93">
            <v>0</v>
          </cell>
          <cell r="I93">
            <v>1</v>
          </cell>
          <cell r="J93">
            <v>1</v>
          </cell>
          <cell r="K93">
            <v>1</v>
          </cell>
          <cell r="L93">
            <v>1</v>
          </cell>
          <cell r="M93">
            <v>0</v>
          </cell>
          <cell r="N93">
            <v>1</v>
          </cell>
          <cell r="O93">
            <v>0</v>
          </cell>
          <cell r="P93">
            <v>0</v>
          </cell>
          <cell r="Q93">
            <v>1</v>
          </cell>
          <cell r="R93">
            <v>1</v>
          </cell>
          <cell r="S93">
            <v>1</v>
          </cell>
          <cell r="T93">
            <v>0</v>
          </cell>
          <cell r="U93">
            <v>1</v>
          </cell>
          <cell r="V93">
            <v>1</v>
          </cell>
          <cell r="W93">
            <v>1</v>
          </cell>
          <cell r="X93">
            <v>1</v>
          </cell>
          <cell r="Y93">
            <v>1</v>
          </cell>
          <cell r="Z93">
            <v>0.5</v>
          </cell>
          <cell r="AA93">
            <v>0</v>
          </cell>
          <cell r="AB93">
            <v>0</v>
          </cell>
          <cell r="AC93">
            <v>0</v>
          </cell>
          <cell r="AD93">
            <v>1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  <cell r="AM93">
            <v>18.5</v>
          </cell>
          <cell r="AN93">
            <v>0</v>
          </cell>
        </row>
        <row r="94">
          <cell r="F94" t="str">
            <v>SHANKAR GIRMAL MALI</v>
          </cell>
          <cell r="G94" t="str">
            <v xml:space="preserve">GENERAL 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</row>
        <row r="95">
          <cell r="F95" t="str">
            <v>GANESH AVADHUT SHIVAGONDE</v>
          </cell>
          <cell r="G95" t="str">
            <v xml:space="preserve">GENERAL </v>
          </cell>
          <cell r="H95">
            <v>0</v>
          </cell>
          <cell r="I95">
            <v>0</v>
          </cell>
          <cell r="J95">
            <v>2</v>
          </cell>
          <cell r="K95">
            <v>1</v>
          </cell>
          <cell r="L95">
            <v>1</v>
          </cell>
          <cell r="M95">
            <v>0</v>
          </cell>
          <cell r="N95">
            <v>2</v>
          </cell>
          <cell r="O95">
            <v>1</v>
          </cell>
          <cell r="P95">
            <v>0</v>
          </cell>
          <cell r="Q95">
            <v>1</v>
          </cell>
          <cell r="R95">
            <v>1</v>
          </cell>
          <cell r="S95">
            <v>1</v>
          </cell>
          <cell r="T95">
            <v>1</v>
          </cell>
          <cell r="U95">
            <v>1</v>
          </cell>
          <cell r="V95">
            <v>0</v>
          </cell>
          <cell r="W95">
            <v>1</v>
          </cell>
          <cell r="X95">
            <v>0</v>
          </cell>
          <cell r="Y95">
            <v>1</v>
          </cell>
          <cell r="Z95">
            <v>1</v>
          </cell>
          <cell r="AA95">
            <v>0</v>
          </cell>
          <cell r="AB95">
            <v>1</v>
          </cell>
          <cell r="AC95">
            <v>0</v>
          </cell>
          <cell r="AD95">
            <v>2</v>
          </cell>
          <cell r="AE95">
            <v>1</v>
          </cell>
          <cell r="AF95">
            <v>1</v>
          </cell>
          <cell r="AG95">
            <v>1</v>
          </cell>
          <cell r="AH95">
            <v>0</v>
          </cell>
          <cell r="AI95">
            <v>1</v>
          </cell>
          <cell r="AJ95">
            <v>0</v>
          </cell>
          <cell r="AK95">
            <v>0</v>
          </cell>
          <cell r="AL95">
            <v>0</v>
          </cell>
          <cell r="AM95">
            <v>22</v>
          </cell>
          <cell r="AN95">
            <v>0</v>
          </cell>
        </row>
        <row r="96">
          <cell r="F96" t="str">
            <v xml:space="preserve">AKASH KALE </v>
          </cell>
          <cell r="G96" t="str">
            <v xml:space="preserve">GENERAL </v>
          </cell>
          <cell r="H96">
            <v>0</v>
          </cell>
          <cell r="I96">
            <v>0</v>
          </cell>
          <cell r="J96">
            <v>1</v>
          </cell>
          <cell r="K96">
            <v>1</v>
          </cell>
          <cell r="L96">
            <v>1</v>
          </cell>
          <cell r="M96">
            <v>0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0</v>
          </cell>
          <cell r="U96">
            <v>0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0</v>
          </cell>
          <cell r="AB96">
            <v>0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0</v>
          </cell>
          <cell r="AK96">
            <v>1</v>
          </cell>
          <cell r="AL96">
            <v>1</v>
          </cell>
          <cell r="AM96">
            <v>21</v>
          </cell>
          <cell r="AN96">
            <v>0</v>
          </cell>
        </row>
        <row r="97">
          <cell r="F97" t="str">
            <v xml:space="preserve">SAHIL  SHAIKH </v>
          </cell>
          <cell r="G97" t="str">
            <v xml:space="preserve">GENERAL 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1</v>
          </cell>
          <cell r="R97">
            <v>1</v>
          </cell>
          <cell r="S97">
            <v>1</v>
          </cell>
          <cell r="T97">
            <v>0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  <cell r="Y97">
            <v>0</v>
          </cell>
          <cell r="Z97">
            <v>1</v>
          </cell>
          <cell r="AA97">
            <v>0</v>
          </cell>
          <cell r="AB97">
            <v>0</v>
          </cell>
          <cell r="AC97">
            <v>0</v>
          </cell>
          <cell r="AD97">
            <v>1</v>
          </cell>
          <cell r="AE97">
            <v>1</v>
          </cell>
          <cell r="AF97">
            <v>1</v>
          </cell>
          <cell r="AG97">
            <v>2</v>
          </cell>
          <cell r="AH97">
            <v>0</v>
          </cell>
          <cell r="AI97">
            <v>0</v>
          </cell>
          <cell r="AJ97">
            <v>1</v>
          </cell>
          <cell r="AK97">
            <v>1</v>
          </cell>
          <cell r="AL97">
            <v>1</v>
          </cell>
          <cell r="AM97">
            <v>16</v>
          </cell>
          <cell r="AN97">
            <v>0</v>
          </cell>
        </row>
        <row r="98">
          <cell r="F98" t="str">
            <v>SIDDHARTH RAJGURU</v>
          </cell>
          <cell r="G98" t="str">
            <v xml:space="preserve">GENERAL 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1</v>
          </cell>
          <cell r="R98">
            <v>1</v>
          </cell>
          <cell r="S98">
            <v>1</v>
          </cell>
          <cell r="T98">
            <v>0</v>
          </cell>
          <cell r="U98">
            <v>1</v>
          </cell>
          <cell r="V98">
            <v>1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0</v>
          </cell>
          <cell r="AB98">
            <v>0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0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M98">
            <v>18</v>
          </cell>
          <cell r="AN98">
            <v>0</v>
          </cell>
        </row>
        <row r="99">
          <cell r="F99" t="str">
            <v>MALIK INAMDAR</v>
          </cell>
          <cell r="G99" t="str">
            <v xml:space="preserve">GENERAL 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1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1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2</v>
          </cell>
          <cell r="AN99">
            <v>0</v>
          </cell>
        </row>
        <row r="100">
          <cell r="F100" t="str">
            <v>SURAJ BHOSALE</v>
          </cell>
          <cell r="G100" t="str">
            <v xml:space="preserve">GENERAL 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1</v>
          </cell>
          <cell r="V100">
            <v>1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1</v>
          </cell>
          <cell r="AF100">
            <v>1</v>
          </cell>
          <cell r="AG100">
            <v>1</v>
          </cell>
          <cell r="AH100">
            <v>0</v>
          </cell>
          <cell r="AI100">
            <v>0</v>
          </cell>
          <cell r="AJ100">
            <v>0</v>
          </cell>
          <cell r="AK100">
            <v>1</v>
          </cell>
          <cell r="AL100">
            <v>1</v>
          </cell>
          <cell r="AM100">
            <v>11</v>
          </cell>
          <cell r="AN100">
            <v>0</v>
          </cell>
        </row>
        <row r="101">
          <cell r="F101" t="str">
            <v>PRAVIN SANJAY BIRAJDAR</v>
          </cell>
          <cell r="G101" t="str">
            <v xml:space="preserve">GENERAL 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1</v>
          </cell>
          <cell r="V101">
            <v>1</v>
          </cell>
          <cell r="W101">
            <v>0</v>
          </cell>
          <cell r="X101">
            <v>0</v>
          </cell>
          <cell r="Y101">
            <v>0</v>
          </cell>
          <cell r="Z101">
            <v>1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1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4</v>
          </cell>
          <cell r="AN101">
            <v>0</v>
          </cell>
        </row>
        <row r="102">
          <cell r="F102" t="str">
            <v>SACHIN SHANTARAM MASHALKAR</v>
          </cell>
          <cell r="G102" t="str">
            <v xml:space="preserve">GENERAL 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1</v>
          </cell>
          <cell r="V102">
            <v>1</v>
          </cell>
          <cell r="W102">
            <v>1</v>
          </cell>
          <cell r="X102">
            <v>1</v>
          </cell>
          <cell r="Y102">
            <v>0</v>
          </cell>
          <cell r="Z102">
            <v>1</v>
          </cell>
          <cell r="AA102">
            <v>0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  <cell r="AF102">
            <v>1</v>
          </cell>
          <cell r="AG102">
            <v>1</v>
          </cell>
          <cell r="AH102">
            <v>0</v>
          </cell>
          <cell r="AI102">
            <v>0</v>
          </cell>
          <cell r="AJ102">
            <v>1</v>
          </cell>
          <cell r="AK102">
            <v>1</v>
          </cell>
          <cell r="AL102">
            <v>1</v>
          </cell>
          <cell r="AM102">
            <v>14</v>
          </cell>
          <cell r="AN102">
            <v>0</v>
          </cell>
        </row>
        <row r="103">
          <cell r="F103" t="str">
            <v>PRAVIN NILAPPA HIRAPURE</v>
          </cell>
          <cell r="G103" t="str">
            <v xml:space="preserve">GENERAL 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1</v>
          </cell>
          <cell r="W103">
            <v>1</v>
          </cell>
          <cell r="X103">
            <v>1</v>
          </cell>
          <cell r="Y103">
            <v>1</v>
          </cell>
          <cell r="Z103">
            <v>1</v>
          </cell>
          <cell r="AA103">
            <v>0</v>
          </cell>
          <cell r="AB103">
            <v>0</v>
          </cell>
          <cell r="AC103">
            <v>0</v>
          </cell>
          <cell r="AD103">
            <v>0.5</v>
          </cell>
          <cell r="AE103">
            <v>1</v>
          </cell>
          <cell r="AF103">
            <v>1</v>
          </cell>
          <cell r="AG103">
            <v>0</v>
          </cell>
          <cell r="AH103">
            <v>0</v>
          </cell>
          <cell r="AI103">
            <v>1</v>
          </cell>
          <cell r="AJ103">
            <v>0</v>
          </cell>
          <cell r="AK103">
            <v>1</v>
          </cell>
          <cell r="AL103">
            <v>1</v>
          </cell>
          <cell r="AM103">
            <v>10.5</v>
          </cell>
          <cell r="AN103">
            <v>0</v>
          </cell>
        </row>
        <row r="104">
          <cell r="F104" t="str">
            <v>DATTATRAY LAMBATURE</v>
          </cell>
          <cell r="G104" t="str">
            <v xml:space="preserve">GENERAL 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1</v>
          </cell>
          <cell r="V104">
            <v>1</v>
          </cell>
          <cell r="W104">
            <v>1</v>
          </cell>
          <cell r="X104">
            <v>1</v>
          </cell>
          <cell r="Y104">
            <v>1</v>
          </cell>
          <cell r="Z104">
            <v>1</v>
          </cell>
          <cell r="AA104">
            <v>0</v>
          </cell>
          <cell r="AB104">
            <v>0</v>
          </cell>
          <cell r="AC104">
            <v>1</v>
          </cell>
          <cell r="AD104">
            <v>1</v>
          </cell>
          <cell r="AE104">
            <v>1</v>
          </cell>
          <cell r="AF104">
            <v>1</v>
          </cell>
          <cell r="AG104">
            <v>1</v>
          </cell>
          <cell r="AH104">
            <v>0</v>
          </cell>
          <cell r="AI104">
            <v>1</v>
          </cell>
          <cell r="AJ104">
            <v>1</v>
          </cell>
          <cell r="AK104">
            <v>1</v>
          </cell>
          <cell r="AL104">
            <v>1</v>
          </cell>
          <cell r="AM104">
            <v>15</v>
          </cell>
          <cell r="AN104">
            <v>0</v>
          </cell>
        </row>
        <row r="105">
          <cell r="F105" t="str">
            <v>RIZWAN KHATIB</v>
          </cell>
          <cell r="G105" t="str">
            <v xml:space="preserve">GENERAL 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1</v>
          </cell>
          <cell r="W105">
            <v>1</v>
          </cell>
          <cell r="X105">
            <v>1</v>
          </cell>
          <cell r="Y105">
            <v>1</v>
          </cell>
          <cell r="Z105">
            <v>1</v>
          </cell>
          <cell r="AA105">
            <v>0</v>
          </cell>
          <cell r="AB105">
            <v>1</v>
          </cell>
          <cell r="AC105">
            <v>1</v>
          </cell>
          <cell r="AD105">
            <v>1</v>
          </cell>
          <cell r="AE105">
            <v>1</v>
          </cell>
          <cell r="AF105">
            <v>1</v>
          </cell>
          <cell r="AG105">
            <v>1</v>
          </cell>
          <cell r="AH105">
            <v>0</v>
          </cell>
          <cell r="AI105">
            <v>1</v>
          </cell>
          <cell r="AJ105">
            <v>1</v>
          </cell>
          <cell r="AK105">
            <v>1</v>
          </cell>
          <cell r="AL105">
            <v>1</v>
          </cell>
          <cell r="AM105">
            <v>15</v>
          </cell>
          <cell r="AN105">
            <v>0</v>
          </cell>
        </row>
        <row r="106">
          <cell r="F106" t="str">
            <v>NADAF ARBAJ ILAHI</v>
          </cell>
          <cell r="G106" t="str">
            <v xml:space="preserve">YANMAR LINE </v>
          </cell>
          <cell r="H106">
            <v>0</v>
          </cell>
          <cell r="I106">
            <v>0</v>
          </cell>
          <cell r="J106">
            <v>1</v>
          </cell>
          <cell r="K106">
            <v>1</v>
          </cell>
          <cell r="L106">
            <v>1</v>
          </cell>
          <cell r="M106">
            <v>0</v>
          </cell>
          <cell r="N106">
            <v>1</v>
          </cell>
          <cell r="O106">
            <v>2</v>
          </cell>
          <cell r="P106">
            <v>1.5</v>
          </cell>
          <cell r="Q106">
            <v>0</v>
          </cell>
          <cell r="R106">
            <v>0</v>
          </cell>
          <cell r="S106">
            <v>1</v>
          </cell>
          <cell r="T106">
            <v>0</v>
          </cell>
          <cell r="U106">
            <v>1</v>
          </cell>
          <cell r="V106">
            <v>1</v>
          </cell>
          <cell r="W106">
            <v>1</v>
          </cell>
          <cell r="X106">
            <v>1</v>
          </cell>
          <cell r="Y106">
            <v>1</v>
          </cell>
          <cell r="Z106">
            <v>1</v>
          </cell>
          <cell r="AA106">
            <v>0</v>
          </cell>
          <cell r="AB106">
            <v>1</v>
          </cell>
          <cell r="AC106">
            <v>1</v>
          </cell>
          <cell r="AD106">
            <v>1</v>
          </cell>
          <cell r="AE106">
            <v>1</v>
          </cell>
          <cell r="AF106">
            <v>1</v>
          </cell>
          <cell r="AG106">
            <v>0</v>
          </cell>
          <cell r="AH106">
            <v>0</v>
          </cell>
          <cell r="AI106">
            <v>0</v>
          </cell>
          <cell r="AJ106">
            <v>1</v>
          </cell>
          <cell r="AK106">
            <v>1</v>
          </cell>
          <cell r="AL106">
            <v>1</v>
          </cell>
          <cell r="AM106">
            <v>22.5</v>
          </cell>
          <cell r="AN106">
            <v>0</v>
          </cell>
        </row>
        <row r="107">
          <cell r="F107" t="str">
            <v>PRASHANT RAJU KOLI</v>
          </cell>
          <cell r="G107" t="str">
            <v xml:space="preserve">YANMAR LINE </v>
          </cell>
          <cell r="H107">
            <v>0</v>
          </cell>
          <cell r="I107">
            <v>1</v>
          </cell>
          <cell r="J107">
            <v>1</v>
          </cell>
          <cell r="K107">
            <v>1</v>
          </cell>
          <cell r="L107">
            <v>1</v>
          </cell>
          <cell r="M107">
            <v>0</v>
          </cell>
          <cell r="N107">
            <v>1</v>
          </cell>
          <cell r="O107">
            <v>1</v>
          </cell>
          <cell r="P107">
            <v>1</v>
          </cell>
          <cell r="Q107">
            <v>1</v>
          </cell>
          <cell r="R107">
            <v>1</v>
          </cell>
          <cell r="S107">
            <v>1</v>
          </cell>
          <cell r="T107">
            <v>0</v>
          </cell>
          <cell r="U107">
            <v>1</v>
          </cell>
          <cell r="V107">
            <v>0</v>
          </cell>
          <cell r="W107">
            <v>0</v>
          </cell>
          <cell r="X107">
            <v>1</v>
          </cell>
          <cell r="Y107">
            <v>1</v>
          </cell>
          <cell r="Z107">
            <v>1</v>
          </cell>
          <cell r="AA107">
            <v>0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  <cell r="AF107">
            <v>1</v>
          </cell>
          <cell r="AG107">
            <v>1</v>
          </cell>
          <cell r="AH107">
            <v>0</v>
          </cell>
          <cell r="AI107">
            <v>1</v>
          </cell>
          <cell r="AJ107">
            <v>1</v>
          </cell>
          <cell r="AK107">
            <v>2</v>
          </cell>
          <cell r="AL107">
            <v>1</v>
          </cell>
          <cell r="AM107">
            <v>25</v>
          </cell>
          <cell r="AN107">
            <v>0</v>
          </cell>
        </row>
        <row r="108">
          <cell r="F108" t="str">
            <v>KUNDAN SANJAY GAIKWAD</v>
          </cell>
          <cell r="G108" t="str">
            <v xml:space="preserve">YANMAR LINE </v>
          </cell>
          <cell r="H108">
            <v>0</v>
          </cell>
          <cell r="I108">
            <v>1</v>
          </cell>
          <cell r="J108">
            <v>1</v>
          </cell>
          <cell r="K108">
            <v>1</v>
          </cell>
          <cell r="L108">
            <v>1</v>
          </cell>
          <cell r="M108">
            <v>0</v>
          </cell>
          <cell r="N108">
            <v>2</v>
          </cell>
          <cell r="O108">
            <v>0</v>
          </cell>
          <cell r="P108">
            <v>1</v>
          </cell>
          <cell r="Q108">
            <v>1</v>
          </cell>
          <cell r="R108">
            <v>1</v>
          </cell>
          <cell r="S108">
            <v>1</v>
          </cell>
          <cell r="T108">
            <v>0</v>
          </cell>
          <cell r="U108">
            <v>1</v>
          </cell>
          <cell r="V108">
            <v>1</v>
          </cell>
          <cell r="W108">
            <v>1</v>
          </cell>
          <cell r="X108">
            <v>1</v>
          </cell>
          <cell r="Y108">
            <v>1</v>
          </cell>
          <cell r="Z108">
            <v>0</v>
          </cell>
          <cell r="AA108">
            <v>0</v>
          </cell>
          <cell r="AB108">
            <v>1</v>
          </cell>
          <cell r="AC108">
            <v>0</v>
          </cell>
          <cell r="AD108">
            <v>1</v>
          </cell>
          <cell r="AE108">
            <v>1</v>
          </cell>
          <cell r="AF108">
            <v>1</v>
          </cell>
          <cell r="AG108">
            <v>1</v>
          </cell>
          <cell r="AH108">
            <v>0</v>
          </cell>
          <cell r="AI108">
            <v>2</v>
          </cell>
          <cell r="AJ108">
            <v>1</v>
          </cell>
          <cell r="AK108">
            <v>1</v>
          </cell>
          <cell r="AL108">
            <v>1</v>
          </cell>
          <cell r="AM108">
            <v>25</v>
          </cell>
          <cell r="AN108">
            <v>0</v>
          </cell>
        </row>
        <row r="109">
          <cell r="F109" t="str">
            <v>BAGALE NILESH</v>
          </cell>
          <cell r="G109" t="str">
            <v xml:space="preserve">FD SUP </v>
          </cell>
          <cell r="H109">
            <v>0</v>
          </cell>
          <cell r="I109">
            <v>1</v>
          </cell>
          <cell r="J109">
            <v>1</v>
          </cell>
          <cell r="K109">
            <v>1</v>
          </cell>
          <cell r="L109">
            <v>1</v>
          </cell>
          <cell r="M109">
            <v>1</v>
          </cell>
          <cell r="N109">
            <v>1</v>
          </cell>
          <cell r="O109">
            <v>1</v>
          </cell>
          <cell r="P109">
            <v>1</v>
          </cell>
          <cell r="Q109">
            <v>1</v>
          </cell>
          <cell r="R109">
            <v>1</v>
          </cell>
          <cell r="S109">
            <v>1</v>
          </cell>
          <cell r="T109">
            <v>1</v>
          </cell>
          <cell r="U109">
            <v>1</v>
          </cell>
          <cell r="V109">
            <v>1</v>
          </cell>
          <cell r="W109">
            <v>1</v>
          </cell>
          <cell r="X109">
            <v>1</v>
          </cell>
          <cell r="Y109">
            <v>1</v>
          </cell>
          <cell r="Z109">
            <v>1</v>
          </cell>
          <cell r="AA109">
            <v>0</v>
          </cell>
          <cell r="AB109">
            <v>1</v>
          </cell>
          <cell r="AC109">
            <v>1</v>
          </cell>
          <cell r="AD109">
            <v>1</v>
          </cell>
          <cell r="AE109">
            <v>1</v>
          </cell>
          <cell r="AF109">
            <v>1</v>
          </cell>
          <cell r="AG109">
            <v>1</v>
          </cell>
          <cell r="AH109">
            <v>1</v>
          </cell>
          <cell r="AI109">
            <v>1</v>
          </cell>
          <cell r="AJ109">
            <v>1</v>
          </cell>
          <cell r="AK109">
            <v>1</v>
          </cell>
          <cell r="AL109">
            <v>1</v>
          </cell>
          <cell r="AM109">
            <v>29</v>
          </cell>
          <cell r="AN109">
            <v>2500</v>
          </cell>
        </row>
        <row r="110">
          <cell r="F110" t="str">
            <v>ANIKET DANGE</v>
          </cell>
          <cell r="G110" t="str">
            <v xml:space="preserve">FD SUP </v>
          </cell>
          <cell r="H110">
            <v>0</v>
          </cell>
          <cell r="I110">
            <v>1</v>
          </cell>
          <cell r="J110">
            <v>1</v>
          </cell>
          <cell r="K110">
            <v>0</v>
          </cell>
          <cell r="L110">
            <v>1</v>
          </cell>
          <cell r="M110">
            <v>0</v>
          </cell>
          <cell r="N110">
            <v>1</v>
          </cell>
          <cell r="O110">
            <v>0.5</v>
          </cell>
          <cell r="P110">
            <v>1</v>
          </cell>
          <cell r="Q110">
            <v>1</v>
          </cell>
          <cell r="R110">
            <v>1</v>
          </cell>
          <cell r="S110">
            <v>1</v>
          </cell>
          <cell r="T110">
            <v>0</v>
          </cell>
          <cell r="U110">
            <v>1</v>
          </cell>
          <cell r="V110">
            <v>1</v>
          </cell>
          <cell r="W110">
            <v>1</v>
          </cell>
          <cell r="X110">
            <v>1</v>
          </cell>
          <cell r="Y110">
            <v>1</v>
          </cell>
          <cell r="Z110">
            <v>1</v>
          </cell>
          <cell r="AA110">
            <v>1</v>
          </cell>
          <cell r="AB110">
            <v>1</v>
          </cell>
          <cell r="AC110">
            <v>1.5</v>
          </cell>
          <cell r="AD110">
            <v>1</v>
          </cell>
          <cell r="AE110">
            <v>1</v>
          </cell>
          <cell r="AF110">
            <v>0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  <cell r="AM110">
            <v>26</v>
          </cell>
          <cell r="AN110">
            <v>500</v>
          </cell>
        </row>
        <row r="111">
          <cell r="F111" t="str">
            <v>WAGHULE  GANAGADHAR</v>
          </cell>
          <cell r="G111" t="str">
            <v xml:space="preserve">FD SUP </v>
          </cell>
          <cell r="H111">
            <v>0</v>
          </cell>
          <cell r="I111">
            <v>1</v>
          </cell>
          <cell r="J111">
            <v>0</v>
          </cell>
          <cell r="K111">
            <v>1</v>
          </cell>
          <cell r="L111">
            <v>1</v>
          </cell>
          <cell r="M111">
            <v>0</v>
          </cell>
          <cell r="N111">
            <v>1</v>
          </cell>
          <cell r="O111">
            <v>1</v>
          </cell>
          <cell r="P111">
            <v>1</v>
          </cell>
          <cell r="Q111">
            <v>1</v>
          </cell>
          <cell r="R111">
            <v>0.5</v>
          </cell>
          <cell r="S111">
            <v>1</v>
          </cell>
          <cell r="T111">
            <v>0</v>
          </cell>
          <cell r="U111">
            <v>1</v>
          </cell>
          <cell r="V111">
            <v>1</v>
          </cell>
          <cell r="W111">
            <v>1</v>
          </cell>
          <cell r="X111">
            <v>1</v>
          </cell>
          <cell r="Y111">
            <v>1</v>
          </cell>
          <cell r="Z111">
            <v>1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  <cell r="AF111">
            <v>1</v>
          </cell>
          <cell r="AG111">
            <v>1</v>
          </cell>
          <cell r="AH111">
            <v>0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  <cell r="AM111">
            <v>25.5</v>
          </cell>
          <cell r="AN111">
            <v>500</v>
          </cell>
        </row>
        <row r="112">
          <cell r="F112" t="str">
            <v>ANUJ HATTARKI</v>
          </cell>
          <cell r="G112" t="str">
            <v xml:space="preserve">FD SUP </v>
          </cell>
          <cell r="H112">
            <v>0</v>
          </cell>
          <cell r="I112">
            <v>0</v>
          </cell>
          <cell r="J112">
            <v>1</v>
          </cell>
          <cell r="K112">
            <v>1</v>
          </cell>
          <cell r="L112">
            <v>1</v>
          </cell>
          <cell r="M112">
            <v>0</v>
          </cell>
          <cell r="N112">
            <v>1</v>
          </cell>
          <cell r="O112">
            <v>1</v>
          </cell>
          <cell r="P112">
            <v>1</v>
          </cell>
          <cell r="Q112">
            <v>1</v>
          </cell>
          <cell r="R112">
            <v>1</v>
          </cell>
          <cell r="S112">
            <v>1</v>
          </cell>
          <cell r="T112">
            <v>0</v>
          </cell>
          <cell r="U112">
            <v>1</v>
          </cell>
          <cell r="V112">
            <v>0</v>
          </cell>
          <cell r="W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0</v>
          </cell>
          <cell r="AB112">
            <v>0</v>
          </cell>
          <cell r="AC112">
            <v>1</v>
          </cell>
          <cell r="AD112">
            <v>1</v>
          </cell>
          <cell r="AE112">
            <v>1</v>
          </cell>
          <cell r="AF112">
            <v>0</v>
          </cell>
          <cell r="AG112">
            <v>1</v>
          </cell>
          <cell r="AH112">
            <v>0</v>
          </cell>
          <cell r="AI112">
            <v>1</v>
          </cell>
          <cell r="AJ112">
            <v>1</v>
          </cell>
          <cell r="AK112">
            <v>1</v>
          </cell>
          <cell r="AL112">
            <v>0</v>
          </cell>
          <cell r="AM112">
            <v>21</v>
          </cell>
          <cell r="AN112">
            <v>0</v>
          </cell>
        </row>
        <row r="113">
          <cell r="F113" t="str">
            <v>YASH PAWAR</v>
          </cell>
          <cell r="G113" t="str">
            <v xml:space="preserve">FD SUP </v>
          </cell>
          <cell r="H113">
            <v>0</v>
          </cell>
          <cell r="I113">
            <v>0</v>
          </cell>
          <cell r="J113">
            <v>1</v>
          </cell>
          <cell r="K113">
            <v>1</v>
          </cell>
          <cell r="L113">
            <v>1</v>
          </cell>
          <cell r="M113">
            <v>0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  <cell r="T113">
            <v>0</v>
          </cell>
          <cell r="U113">
            <v>1</v>
          </cell>
          <cell r="V113">
            <v>1</v>
          </cell>
          <cell r="W113">
            <v>1</v>
          </cell>
          <cell r="X113">
            <v>1</v>
          </cell>
          <cell r="Y113">
            <v>0</v>
          </cell>
          <cell r="Z113">
            <v>1</v>
          </cell>
          <cell r="AA113">
            <v>0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0.5</v>
          </cell>
          <cell r="AG113">
            <v>1</v>
          </cell>
          <cell r="AH113">
            <v>0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  <cell r="AM113">
            <v>23.5</v>
          </cell>
          <cell r="AN113">
            <v>0</v>
          </cell>
        </row>
        <row r="114">
          <cell r="F114" t="str">
            <v>BASAVRAJ KORE</v>
          </cell>
          <cell r="G114" t="str">
            <v xml:space="preserve">FD SUP 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1</v>
          </cell>
          <cell r="W114">
            <v>1</v>
          </cell>
          <cell r="X114">
            <v>1</v>
          </cell>
          <cell r="Y114">
            <v>1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4</v>
          </cell>
          <cell r="AN114">
            <v>0</v>
          </cell>
        </row>
        <row r="115">
          <cell r="F115">
            <v>0</v>
          </cell>
          <cell r="G115">
            <v>0</v>
          </cell>
          <cell r="H115">
            <v>7</v>
          </cell>
          <cell r="I115">
            <v>68.5</v>
          </cell>
          <cell r="J115">
            <v>75</v>
          </cell>
          <cell r="K115">
            <v>85</v>
          </cell>
          <cell r="L115">
            <v>85</v>
          </cell>
          <cell r="M115">
            <v>19</v>
          </cell>
          <cell r="N115">
            <v>81</v>
          </cell>
          <cell r="O115">
            <v>75.5</v>
          </cell>
          <cell r="P115">
            <v>77.5</v>
          </cell>
          <cell r="Q115">
            <v>81</v>
          </cell>
          <cell r="R115">
            <v>81.5</v>
          </cell>
          <cell r="S115">
            <v>83</v>
          </cell>
          <cell r="T115">
            <v>13</v>
          </cell>
          <cell r="U115">
            <v>77.5</v>
          </cell>
          <cell r="V115">
            <v>82</v>
          </cell>
          <cell r="W115">
            <v>87</v>
          </cell>
          <cell r="X115">
            <v>84</v>
          </cell>
          <cell r="Y115">
            <v>87.5</v>
          </cell>
          <cell r="Z115">
            <v>92</v>
          </cell>
          <cell r="AA115">
            <v>24</v>
          </cell>
          <cell r="AB115">
            <v>74.5</v>
          </cell>
          <cell r="AC115">
            <v>81.5</v>
          </cell>
          <cell r="AD115">
            <v>95.5</v>
          </cell>
          <cell r="AE115">
            <v>89.5</v>
          </cell>
          <cell r="AF115">
            <v>83</v>
          </cell>
          <cell r="AG115">
            <v>87.5</v>
          </cell>
          <cell r="AH115">
            <v>34</v>
          </cell>
          <cell r="AI115">
            <v>75</v>
          </cell>
          <cell r="AJ115">
            <v>82</v>
          </cell>
          <cell r="AK115">
            <v>85.5</v>
          </cell>
          <cell r="AL115">
            <v>88</v>
          </cell>
          <cell r="AM115">
            <v>2242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960"/>
  <sheetViews>
    <sheetView zoomScale="90" zoomScaleNormal="90" workbookViewId="0">
      <selection activeCell="P58" sqref="P58"/>
    </sheetView>
  </sheetViews>
  <sheetFormatPr defaultColWidth="26.77734375" defaultRowHeight="15" customHeight="1"/>
  <cols>
    <col min="1" max="1" width="3.109375" style="81" bestFit="1" customWidth="1"/>
    <col min="2" max="2" width="33.6640625" style="97" customWidth="1"/>
    <col min="3" max="3" width="14.77734375" style="97" bestFit="1" customWidth="1"/>
    <col min="4" max="12" width="7.6640625" style="98" bestFit="1" customWidth="1"/>
    <col min="13" max="18" width="8.77734375" style="98" bestFit="1" customWidth="1"/>
    <col min="19" max="19" width="8.33203125" style="98" bestFit="1" customWidth="1"/>
    <col min="20" max="20" width="6.77734375" style="81" customWidth="1"/>
    <col min="21" max="16384" width="26.77734375" style="81"/>
  </cols>
  <sheetData>
    <row r="1" spans="1:20" ht="13.2">
      <c r="A1" s="113"/>
      <c r="B1" s="114" t="s">
        <v>460</v>
      </c>
      <c r="C1" s="114"/>
      <c r="D1" s="115">
        <v>1</v>
      </c>
      <c r="E1" s="115">
        <v>2</v>
      </c>
      <c r="F1" s="115">
        <v>3</v>
      </c>
      <c r="G1" s="116">
        <v>4</v>
      </c>
      <c r="H1" s="115">
        <v>5</v>
      </c>
      <c r="I1" s="115">
        <v>6</v>
      </c>
      <c r="J1" s="115">
        <v>7</v>
      </c>
      <c r="K1" s="115">
        <v>8</v>
      </c>
      <c r="L1" s="115">
        <v>9</v>
      </c>
      <c r="M1" s="115">
        <v>10</v>
      </c>
      <c r="N1" s="116">
        <v>11</v>
      </c>
      <c r="O1" s="115">
        <v>12</v>
      </c>
      <c r="P1" s="115">
        <v>13</v>
      </c>
      <c r="Q1" s="115">
        <v>14</v>
      </c>
      <c r="R1" s="115">
        <v>15</v>
      </c>
      <c r="S1" s="117" t="s">
        <v>366</v>
      </c>
    </row>
    <row r="2" spans="1:20" s="149" customFormat="1" ht="13.2">
      <c r="A2" s="145"/>
      <c r="B2" s="146" t="s">
        <v>403</v>
      </c>
      <c r="C2" s="146"/>
      <c r="D2" s="147">
        <v>1</v>
      </c>
      <c r="E2" s="147">
        <v>2</v>
      </c>
      <c r="F2" s="147">
        <v>3</v>
      </c>
      <c r="G2" s="147">
        <v>4</v>
      </c>
      <c r="H2" s="147">
        <v>5</v>
      </c>
      <c r="I2" s="147">
        <v>6</v>
      </c>
      <c r="J2" s="147">
        <v>7</v>
      </c>
      <c r="K2" s="147">
        <v>8</v>
      </c>
      <c r="L2" s="147">
        <v>9</v>
      </c>
      <c r="M2" s="147">
        <v>10</v>
      </c>
      <c r="N2" s="147">
        <v>11</v>
      </c>
      <c r="O2" s="147">
        <v>12</v>
      </c>
      <c r="P2" s="147">
        <v>13</v>
      </c>
      <c r="Q2" s="147">
        <v>14</v>
      </c>
      <c r="R2" s="147">
        <v>15</v>
      </c>
      <c r="S2" s="148" t="s">
        <v>366</v>
      </c>
    </row>
    <row r="3" spans="1:20" s="149" customFormat="1" ht="13.2">
      <c r="A3" s="145"/>
      <c r="B3" s="150" t="s">
        <v>404</v>
      </c>
      <c r="C3" s="150"/>
      <c r="D3" s="151">
        <f>D5*D4</f>
        <v>0</v>
      </c>
      <c r="E3" s="151">
        <f t="shared" ref="E3:R3" si="0">E5*E4</f>
        <v>2848.3399999999997</v>
      </c>
      <c r="F3" s="151">
        <f t="shared" si="0"/>
        <v>5395.2800000000007</v>
      </c>
      <c r="G3" s="151">
        <f t="shared" si="0"/>
        <v>3520</v>
      </c>
      <c r="H3" s="151">
        <f t="shared" si="0"/>
        <v>5305.5199999999995</v>
      </c>
      <c r="I3" s="151">
        <f t="shared" si="0"/>
        <v>0</v>
      </c>
      <c r="J3" s="151">
        <f>J5*J4</f>
        <v>3945.7</v>
      </c>
      <c r="K3" s="151">
        <f t="shared" si="0"/>
        <v>4839.12</v>
      </c>
      <c r="L3" s="151">
        <f t="shared" si="0"/>
        <v>6310.26</v>
      </c>
      <c r="M3" s="151">
        <f t="shared" si="0"/>
        <v>4351.82</v>
      </c>
      <c r="N3" s="151">
        <f t="shared" si="0"/>
        <v>4786.32</v>
      </c>
      <c r="O3" s="151">
        <f t="shared" si="0"/>
        <v>5145.3600000000006</v>
      </c>
      <c r="P3" s="151">
        <f t="shared" si="0"/>
        <v>0</v>
      </c>
      <c r="Q3" s="151">
        <f t="shared" si="0"/>
        <v>5720</v>
      </c>
      <c r="R3" s="151">
        <f t="shared" si="0"/>
        <v>5355.02</v>
      </c>
      <c r="S3" s="151">
        <f>SUM(D3:R3)</f>
        <v>57522.740000000005</v>
      </c>
    </row>
    <row r="4" spans="1:20" s="149" customFormat="1" ht="13.2">
      <c r="A4" s="145"/>
      <c r="B4" s="150" t="s">
        <v>405</v>
      </c>
      <c r="C4" s="152"/>
      <c r="D4" s="151"/>
      <c r="E4" s="151">
        <v>12.946999999999999</v>
      </c>
      <c r="F4" s="151">
        <v>24.524000000000001</v>
      </c>
      <c r="G4" s="153">
        <v>16</v>
      </c>
      <c r="H4" s="151">
        <v>24.116</v>
      </c>
      <c r="I4" s="151"/>
      <c r="J4" s="154">
        <v>17.934999999999999</v>
      </c>
      <c r="K4" s="151">
        <v>21.995999999999999</v>
      </c>
      <c r="L4" s="151">
        <v>28.683</v>
      </c>
      <c r="M4" s="151">
        <v>19.780999999999999</v>
      </c>
      <c r="N4" s="151">
        <v>21.756</v>
      </c>
      <c r="O4" s="151">
        <v>23.388000000000002</v>
      </c>
      <c r="P4" s="153"/>
      <c r="Q4" s="151">
        <v>26</v>
      </c>
      <c r="R4" s="155">
        <v>24.341000000000001</v>
      </c>
      <c r="S4" s="151">
        <f>SUM(D4:R4)</f>
        <v>261.46699999999998</v>
      </c>
    </row>
    <row r="5" spans="1:20" s="149" customFormat="1" ht="13.2">
      <c r="A5" s="145"/>
      <c r="B5" s="152" t="s">
        <v>377</v>
      </c>
      <c r="C5" s="152"/>
      <c r="D5" s="153">
        <v>220</v>
      </c>
      <c r="E5" s="153">
        <v>220</v>
      </c>
      <c r="F5" s="153">
        <v>220</v>
      </c>
      <c r="G5" s="153">
        <v>220</v>
      </c>
      <c r="H5" s="153">
        <v>220</v>
      </c>
      <c r="I5" s="153">
        <v>220</v>
      </c>
      <c r="J5" s="153">
        <v>220</v>
      </c>
      <c r="K5" s="153">
        <v>220</v>
      </c>
      <c r="L5" s="153">
        <v>220</v>
      </c>
      <c r="M5" s="153">
        <v>220</v>
      </c>
      <c r="N5" s="153">
        <v>220</v>
      </c>
      <c r="O5" s="153">
        <v>220</v>
      </c>
      <c r="P5" s="153">
        <v>220</v>
      </c>
      <c r="Q5" s="153">
        <v>220</v>
      </c>
      <c r="R5" s="153">
        <v>220</v>
      </c>
      <c r="S5" s="151"/>
    </row>
    <row r="6" spans="1:20" s="149" customFormat="1" ht="13.2">
      <c r="A6" s="145"/>
      <c r="B6" s="152" t="s">
        <v>406</v>
      </c>
      <c r="C6" s="152"/>
      <c r="D6" s="151"/>
      <c r="E6" s="151">
        <v>5</v>
      </c>
      <c r="F6" s="151">
        <v>5</v>
      </c>
      <c r="G6" s="153">
        <v>5</v>
      </c>
      <c r="H6" s="151">
        <v>6</v>
      </c>
      <c r="I6" s="151"/>
      <c r="J6" s="154">
        <v>5</v>
      </c>
      <c r="K6" s="151">
        <v>5</v>
      </c>
      <c r="L6" s="151">
        <v>6</v>
      </c>
      <c r="M6" s="151">
        <v>6</v>
      </c>
      <c r="N6" s="151">
        <v>5</v>
      </c>
      <c r="O6" s="151">
        <v>5</v>
      </c>
      <c r="P6" s="153"/>
      <c r="Q6" s="151">
        <v>5</v>
      </c>
      <c r="R6" s="155">
        <v>6</v>
      </c>
      <c r="S6" s="151">
        <f t="shared" ref="S6:S17" si="1">SUM(D6:R6)</f>
        <v>64</v>
      </c>
    </row>
    <row r="7" spans="1:20" s="149" customFormat="1" ht="13.2">
      <c r="A7" s="145"/>
      <c r="B7" s="152" t="s">
        <v>407</v>
      </c>
      <c r="C7" s="152"/>
      <c r="D7" s="153" t="e">
        <f>D3/D6</f>
        <v>#DIV/0!</v>
      </c>
      <c r="E7" s="153">
        <f t="shared" ref="E7:R7" si="2">E3/E6</f>
        <v>569.66799999999989</v>
      </c>
      <c r="F7" s="153">
        <f t="shared" si="2"/>
        <v>1079.056</v>
      </c>
      <c r="G7" s="153">
        <f>G3/G6</f>
        <v>704</v>
      </c>
      <c r="H7" s="153">
        <f t="shared" si="2"/>
        <v>884.25333333333322</v>
      </c>
      <c r="I7" s="153" t="e">
        <f t="shared" si="2"/>
        <v>#DIV/0!</v>
      </c>
      <c r="J7" s="153">
        <f t="shared" si="2"/>
        <v>789.14</v>
      </c>
      <c r="K7" s="153">
        <f t="shared" si="2"/>
        <v>967.82399999999996</v>
      </c>
      <c r="L7" s="153">
        <f t="shared" si="2"/>
        <v>1051.71</v>
      </c>
      <c r="M7" s="153">
        <f t="shared" si="2"/>
        <v>725.30333333333328</v>
      </c>
      <c r="N7" s="153">
        <f t="shared" si="2"/>
        <v>957.2639999999999</v>
      </c>
      <c r="O7" s="153">
        <f t="shared" si="2"/>
        <v>1029.0720000000001</v>
      </c>
      <c r="P7" s="153" t="e">
        <f t="shared" si="2"/>
        <v>#DIV/0!</v>
      </c>
      <c r="Q7" s="153">
        <f t="shared" si="2"/>
        <v>1144</v>
      </c>
      <c r="R7" s="153">
        <f t="shared" si="2"/>
        <v>892.50333333333344</v>
      </c>
      <c r="S7" s="151" t="e">
        <f t="shared" si="1"/>
        <v>#DIV/0!</v>
      </c>
    </row>
    <row r="8" spans="1:20" ht="13.2">
      <c r="A8" s="113">
        <v>1</v>
      </c>
      <c r="B8" s="156" t="s">
        <v>229</v>
      </c>
      <c r="C8" s="157">
        <v>101475240602</v>
      </c>
      <c r="D8" s="158"/>
      <c r="E8" s="158">
        <v>569</v>
      </c>
      <c r="F8" s="158">
        <v>1101</v>
      </c>
      <c r="G8" s="159">
        <v>704</v>
      </c>
      <c r="H8" s="158">
        <v>951</v>
      </c>
      <c r="I8" s="158"/>
      <c r="J8" s="160">
        <v>848</v>
      </c>
      <c r="K8" s="158">
        <v>1034</v>
      </c>
      <c r="L8" s="158"/>
      <c r="M8" s="158">
        <v>725</v>
      </c>
      <c r="N8" s="158">
        <v>957</v>
      </c>
      <c r="O8" s="158">
        <v>1029</v>
      </c>
      <c r="P8" s="159"/>
      <c r="Q8" s="158">
        <v>1144</v>
      </c>
      <c r="R8" s="161">
        <v>969</v>
      </c>
      <c r="S8" s="158">
        <f t="shared" si="1"/>
        <v>10031</v>
      </c>
      <c r="T8" s="81">
        <f t="shared" ref="T8:T26" si="3">COUNT(D8:R8)</f>
        <v>11</v>
      </c>
    </row>
    <row r="9" spans="1:20" ht="13.2">
      <c r="A9" s="113">
        <v>2</v>
      </c>
      <c r="B9" s="156" t="s">
        <v>228</v>
      </c>
      <c r="C9" s="157">
        <v>101492178974</v>
      </c>
      <c r="D9" s="158"/>
      <c r="E9" s="158">
        <v>569</v>
      </c>
      <c r="F9" s="158">
        <v>1101</v>
      </c>
      <c r="G9" s="159">
        <v>704</v>
      </c>
      <c r="H9" s="158">
        <v>951</v>
      </c>
      <c r="I9" s="158"/>
      <c r="J9" s="160">
        <v>848</v>
      </c>
      <c r="K9" s="158">
        <v>1034</v>
      </c>
      <c r="L9" s="158">
        <v>1051</v>
      </c>
      <c r="M9" s="158">
        <v>725</v>
      </c>
      <c r="N9" s="158">
        <v>957</v>
      </c>
      <c r="O9" s="158">
        <v>1029</v>
      </c>
      <c r="P9" s="159"/>
      <c r="Q9" s="158">
        <v>1144</v>
      </c>
      <c r="R9" s="161">
        <v>969</v>
      </c>
      <c r="S9" s="158">
        <f t="shared" si="1"/>
        <v>11082</v>
      </c>
      <c r="T9" s="81">
        <f t="shared" si="3"/>
        <v>12</v>
      </c>
    </row>
    <row r="10" spans="1:20" ht="13.2">
      <c r="A10" s="113">
        <v>3</v>
      </c>
      <c r="B10" s="156" t="s">
        <v>215</v>
      </c>
      <c r="C10" s="157">
        <v>101603294918</v>
      </c>
      <c r="D10" s="158"/>
      <c r="E10" s="158"/>
      <c r="F10" s="158"/>
      <c r="G10" s="159">
        <v>704</v>
      </c>
      <c r="H10" s="158">
        <v>951</v>
      </c>
      <c r="I10" s="158"/>
      <c r="J10" s="160">
        <v>848</v>
      </c>
      <c r="K10" s="158">
        <v>1034</v>
      </c>
      <c r="L10" s="158">
        <v>1051</v>
      </c>
      <c r="M10" s="158">
        <v>725</v>
      </c>
      <c r="N10" s="158">
        <v>957</v>
      </c>
      <c r="O10" s="158">
        <v>1029</v>
      </c>
      <c r="P10" s="159"/>
      <c r="Q10" s="158">
        <v>1144</v>
      </c>
      <c r="R10" s="161">
        <v>969</v>
      </c>
      <c r="S10" s="158">
        <f t="shared" si="1"/>
        <v>9412</v>
      </c>
      <c r="T10" s="81">
        <f t="shared" si="3"/>
        <v>10</v>
      </c>
    </row>
    <row r="11" spans="1:20" ht="13.2">
      <c r="A11" s="113">
        <v>4</v>
      </c>
      <c r="B11" s="156" t="s">
        <v>199</v>
      </c>
      <c r="C11" s="157">
        <v>101944505682</v>
      </c>
      <c r="D11" s="158"/>
      <c r="E11" s="158">
        <v>569</v>
      </c>
      <c r="F11" s="158">
        <v>1101</v>
      </c>
      <c r="G11" s="159">
        <v>704</v>
      </c>
      <c r="H11" s="158">
        <v>951</v>
      </c>
      <c r="I11" s="158"/>
      <c r="J11" s="160">
        <v>848</v>
      </c>
      <c r="K11" s="158"/>
      <c r="L11" s="158">
        <v>1051</v>
      </c>
      <c r="M11" s="158">
        <v>725</v>
      </c>
      <c r="N11" s="158">
        <v>957</v>
      </c>
      <c r="O11" s="158">
        <v>1029</v>
      </c>
      <c r="P11" s="159"/>
      <c r="Q11" s="158"/>
      <c r="R11" s="161">
        <v>727</v>
      </c>
      <c r="S11" s="158">
        <f t="shared" si="1"/>
        <v>8662</v>
      </c>
      <c r="T11" s="81">
        <f t="shared" si="3"/>
        <v>10</v>
      </c>
    </row>
    <row r="12" spans="1:20" ht="13.2">
      <c r="A12" s="113">
        <v>5</v>
      </c>
      <c r="B12" s="156" t="s">
        <v>189</v>
      </c>
      <c r="C12" s="157">
        <v>102052667942</v>
      </c>
      <c r="D12" s="158"/>
      <c r="E12" s="158">
        <v>569</v>
      </c>
      <c r="F12" s="158"/>
      <c r="G12" s="159"/>
      <c r="H12" s="158"/>
      <c r="I12" s="158"/>
      <c r="J12" s="160"/>
      <c r="K12" s="158"/>
      <c r="L12" s="158"/>
      <c r="M12" s="158"/>
      <c r="N12" s="158"/>
      <c r="O12" s="158"/>
      <c r="P12" s="159"/>
      <c r="Q12" s="158">
        <v>1144</v>
      </c>
      <c r="R12" s="161">
        <v>749</v>
      </c>
      <c r="S12" s="158">
        <f t="shared" si="1"/>
        <v>2462</v>
      </c>
      <c r="T12" s="81">
        <f t="shared" si="3"/>
        <v>3</v>
      </c>
    </row>
    <row r="13" spans="1:20" ht="13.2">
      <c r="A13" s="113">
        <v>6</v>
      </c>
      <c r="B13" s="156" t="s">
        <v>214</v>
      </c>
      <c r="C13" s="157">
        <v>101826609019</v>
      </c>
      <c r="D13" s="158"/>
      <c r="E13" s="158">
        <v>569</v>
      </c>
      <c r="F13" s="158">
        <v>1101</v>
      </c>
      <c r="G13" s="159">
        <v>704</v>
      </c>
      <c r="H13" s="158">
        <v>951</v>
      </c>
      <c r="I13" s="158"/>
      <c r="J13" s="160"/>
      <c r="K13" s="158"/>
      <c r="L13" s="158">
        <v>1051</v>
      </c>
      <c r="M13" s="158">
        <v>725</v>
      </c>
      <c r="N13" s="158">
        <v>957</v>
      </c>
      <c r="O13" s="158">
        <v>1029</v>
      </c>
      <c r="P13" s="159"/>
      <c r="Q13" s="158">
        <v>1144</v>
      </c>
      <c r="R13" s="161">
        <v>969</v>
      </c>
      <c r="S13" s="158">
        <f t="shared" si="1"/>
        <v>9200</v>
      </c>
      <c r="T13" s="81">
        <f t="shared" si="3"/>
        <v>10</v>
      </c>
    </row>
    <row r="14" spans="1:20" ht="13.2">
      <c r="A14" s="113">
        <v>7</v>
      </c>
      <c r="B14" s="162" t="s">
        <v>429</v>
      </c>
      <c r="C14" s="157"/>
      <c r="D14" s="158"/>
      <c r="E14" s="158"/>
      <c r="F14" s="158"/>
      <c r="G14" s="159"/>
      <c r="H14" s="158"/>
      <c r="I14" s="158"/>
      <c r="J14" s="160"/>
      <c r="K14" s="158">
        <v>1034</v>
      </c>
      <c r="L14" s="158">
        <v>1051</v>
      </c>
      <c r="M14" s="158">
        <v>725</v>
      </c>
      <c r="N14" s="158"/>
      <c r="O14" s="158"/>
      <c r="P14" s="159"/>
      <c r="Q14" s="158"/>
      <c r="R14" s="161"/>
      <c r="S14" s="158">
        <f t="shared" si="1"/>
        <v>2810</v>
      </c>
      <c r="T14" s="81">
        <f t="shared" si="3"/>
        <v>3</v>
      </c>
    </row>
    <row r="15" spans="1:20" ht="13.2">
      <c r="A15" s="113">
        <v>4</v>
      </c>
      <c r="B15" s="156" t="s">
        <v>193</v>
      </c>
      <c r="C15" s="157">
        <v>101817173110</v>
      </c>
      <c r="D15" s="158"/>
      <c r="E15" s="158"/>
      <c r="F15" s="158">
        <v>990</v>
      </c>
      <c r="G15" s="159"/>
      <c r="H15" s="158"/>
      <c r="I15" s="158"/>
      <c r="J15" s="160"/>
      <c r="K15" s="158">
        <v>703</v>
      </c>
      <c r="L15" s="158"/>
      <c r="M15" s="158"/>
      <c r="N15" s="158"/>
      <c r="O15" s="158"/>
      <c r="P15" s="159"/>
      <c r="Q15" s="158"/>
      <c r="R15" s="161"/>
      <c r="S15" s="158">
        <f t="shared" si="1"/>
        <v>1693</v>
      </c>
      <c r="T15" s="81">
        <f t="shared" si="3"/>
        <v>2</v>
      </c>
    </row>
    <row r="16" spans="1:20" ht="13.2">
      <c r="A16" s="113">
        <v>12</v>
      </c>
      <c r="B16" s="156" t="s">
        <v>431</v>
      </c>
      <c r="C16" s="157"/>
      <c r="D16" s="158"/>
      <c r="E16" s="158"/>
      <c r="F16" s="158"/>
      <c r="G16" s="159"/>
      <c r="H16" s="158"/>
      <c r="I16" s="158"/>
      <c r="J16" s="160"/>
      <c r="K16" s="158"/>
      <c r="L16" s="158">
        <v>1051</v>
      </c>
      <c r="M16" s="158"/>
      <c r="N16" s="158"/>
      <c r="O16" s="158"/>
      <c r="P16" s="159"/>
      <c r="Q16" s="158"/>
      <c r="R16" s="161"/>
      <c r="S16" s="158">
        <f t="shared" si="1"/>
        <v>1051</v>
      </c>
      <c r="T16" s="81">
        <f t="shared" si="3"/>
        <v>1</v>
      </c>
    </row>
    <row r="17" spans="1:20" ht="13.2">
      <c r="A17" s="113">
        <v>8</v>
      </c>
      <c r="B17" s="156" t="s">
        <v>430</v>
      </c>
      <c r="C17" s="157"/>
      <c r="D17" s="158"/>
      <c r="E17" s="158"/>
      <c r="F17" s="158"/>
      <c r="G17" s="159"/>
      <c r="H17" s="158">
        <v>550</v>
      </c>
      <c r="I17" s="158"/>
      <c r="J17" s="160">
        <v>550</v>
      </c>
      <c r="K17" s="158"/>
      <c r="L17" s="158"/>
      <c r="M17" s="158"/>
      <c r="N17" s="158"/>
      <c r="O17" s="158"/>
      <c r="P17" s="159"/>
      <c r="Q17" s="158"/>
      <c r="R17" s="161"/>
      <c r="S17" s="158">
        <f t="shared" si="1"/>
        <v>1100</v>
      </c>
      <c r="T17" s="81">
        <f t="shared" si="3"/>
        <v>2</v>
      </c>
    </row>
    <row r="18" spans="1:20" s="163" customFormat="1" ht="13.2">
      <c r="A18" s="118"/>
      <c r="B18" s="119" t="s">
        <v>366</v>
      </c>
      <c r="C18" s="120"/>
      <c r="D18" s="121">
        <f t="shared" ref="D18:S18" si="4">SUM(D8:D17)</f>
        <v>0</v>
      </c>
      <c r="E18" s="121">
        <f t="shared" si="4"/>
        <v>2845</v>
      </c>
      <c r="F18" s="121">
        <f t="shared" si="4"/>
        <v>5394</v>
      </c>
      <c r="G18" s="121">
        <f t="shared" si="4"/>
        <v>3520</v>
      </c>
      <c r="H18" s="121">
        <f t="shared" si="4"/>
        <v>5305</v>
      </c>
      <c r="I18" s="121">
        <f t="shared" si="4"/>
        <v>0</v>
      </c>
      <c r="J18" s="121">
        <f t="shared" si="4"/>
        <v>3942</v>
      </c>
      <c r="K18" s="121">
        <f t="shared" si="4"/>
        <v>4839</v>
      </c>
      <c r="L18" s="121">
        <f t="shared" si="4"/>
        <v>6306</v>
      </c>
      <c r="M18" s="121">
        <f t="shared" si="4"/>
        <v>4350</v>
      </c>
      <c r="N18" s="121">
        <f t="shared" si="4"/>
        <v>4785</v>
      </c>
      <c r="O18" s="121">
        <f t="shared" si="4"/>
        <v>5145</v>
      </c>
      <c r="P18" s="121">
        <f t="shared" si="4"/>
        <v>0</v>
      </c>
      <c r="Q18" s="121">
        <f t="shared" si="4"/>
        <v>5720</v>
      </c>
      <c r="R18" s="121">
        <f t="shared" si="4"/>
        <v>5352</v>
      </c>
      <c r="S18" s="121">
        <f t="shared" si="4"/>
        <v>57503</v>
      </c>
      <c r="T18" s="81">
        <f t="shared" si="3"/>
        <v>15</v>
      </c>
    </row>
    <row r="19" spans="1:20" s="169" customFormat="1" ht="13.2">
      <c r="A19" s="164"/>
      <c r="B19" s="165" t="s">
        <v>408</v>
      </c>
      <c r="C19" s="166"/>
      <c r="D19" s="167">
        <f t="shared" ref="D19:R19" si="5">D18-D3</f>
        <v>0</v>
      </c>
      <c r="E19" s="167">
        <f t="shared" si="5"/>
        <v>-3.3399999999996908</v>
      </c>
      <c r="F19" s="167">
        <f t="shared" si="5"/>
        <v>-1.2800000000006548</v>
      </c>
      <c r="G19" s="167">
        <f t="shared" si="5"/>
        <v>0</v>
      </c>
      <c r="H19" s="167">
        <f t="shared" si="5"/>
        <v>-0.51999999999952706</v>
      </c>
      <c r="I19" s="167">
        <f t="shared" si="5"/>
        <v>0</v>
      </c>
      <c r="J19" s="167">
        <f t="shared" si="5"/>
        <v>-3.6999999999998181</v>
      </c>
      <c r="K19" s="167">
        <f t="shared" si="5"/>
        <v>-0.11999999999989086</v>
      </c>
      <c r="L19" s="167">
        <f t="shared" si="5"/>
        <v>-4.2600000000002183</v>
      </c>
      <c r="M19" s="167">
        <f t="shared" si="5"/>
        <v>-1.819999999999709</v>
      </c>
      <c r="N19" s="167">
        <f t="shared" si="5"/>
        <v>-1.319999999999709</v>
      </c>
      <c r="O19" s="167">
        <f t="shared" si="5"/>
        <v>-0.36000000000058208</v>
      </c>
      <c r="P19" s="167">
        <f t="shared" si="5"/>
        <v>0</v>
      </c>
      <c r="Q19" s="167">
        <f t="shared" si="5"/>
        <v>0</v>
      </c>
      <c r="R19" s="167">
        <f t="shared" si="5"/>
        <v>-3.0200000000004366</v>
      </c>
      <c r="S19" s="168">
        <f>SUM(D19:R19)</f>
        <v>-19.740000000000236</v>
      </c>
      <c r="T19" s="81">
        <f t="shared" si="3"/>
        <v>15</v>
      </c>
    </row>
    <row r="20" spans="1:20" s="169" customFormat="1" ht="13.2">
      <c r="A20" s="164"/>
      <c r="B20" s="170" t="s">
        <v>404</v>
      </c>
      <c r="C20" s="166"/>
      <c r="D20" s="168">
        <f>D22*D21</f>
        <v>0</v>
      </c>
      <c r="E20" s="168">
        <f t="shared" ref="E20:R20" si="6">E22*E21</f>
        <v>3335.2</v>
      </c>
      <c r="F20" s="168">
        <f t="shared" si="6"/>
        <v>0</v>
      </c>
      <c r="G20" s="168">
        <f t="shared" si="6"/>
        <v>5486.8</v>
      </c>
      <c r="H20" s="168">
        <f t="shared" si="6"/>
        <v>3778.5</v>
      </c>
      <c r="I20" s="168">
        <f t="shared" si="6"/>
        <v>0</v>
      </c>
      <c r="J20" s="168">
        <f t="shared" si="6"/>
        <v>8633.9</v>
      </c>
      <c r="K20" s="168">
        <f t="shared" si="6"/>
        <v>4591.4000000000005</v>
      </c>
      <c r="L20" s="168">
        <f t="shared" si="6"/>
        <v>4540.3600000000006</v>
      </c>
      <c r="M20" s="168">
        <f t="shared" si="6"/>
        <v>6306.52</v>
      </c>
      <c r="N20" s="168">
        <f t="shared" si="6"/>
        <v>5762.9</v>
      </c>
      <c r="O20" s="168">
        <f t="shared" si="6"/>
        <v>0</v>
      </c>
      <c r="P20" s="168">
        <f t="shared" si="6"/>
        <v>0</v>
      </c>
      <c r="Q20" s="168">
        <f t="shared" si="6"/>
        <v>0</v>
      </c>
      <c r="R20" s="168">
        <f t="shared" si="6"/>
        <v>0</v>
      </c>
      <c r="S20" s="168">
        <f>SUM(D20:R20)</f>
        <v>42435.580000000009</v>
      </c>
      <c r="T20" s="81">
        <f t="shared" si="3"/>
        <v>15</v>
      </c>
    </row>
    <row r="21" spans="1:20" s="169" customFormat="1" ht="13.2">
      <c r="A21" s="164"/>
      <c r="B21" s="170" t="s">
        <v>405</v>
      </c>
      <c r="C21" s="171"/>
      <c r="D21" s="151"/>
      <c r="E21" s="151">
        <v>15.16</v>
      </c>
      <c r="F21" s="151"/>
      <c r="G21" s="153">
        <v>24.94</v>
      </c>
      <c r="H21" s="151">
        <v>17.175000000000001</v>
      </c>
      <c r="I21" s="151"/>
      <c r="J21" s="154">
        <v>39.244999999999997</v>
      </c>
      <c r="K21" s="151">
        <v>20.87</v>
      </c>
      <c r="L21" s="151">
        <v>20.638000000000002</v>
      </c>
      <c r="M21" s="151">
        <v>28.666</v>
      </c>
      <c r="N21" s="151">
        <v>26.195</v>
      </c>
      <c r="O21" s="151"/>
      <c r="P21" s="153"/>
      <c r="Q21" s="151"/>
      <c r="R21" s="155"/>
      <c r="S21" s="168">
        <f>SUM(D21:R21)</f>
        <v>192.88900000000001</v>
      </c>
      <c r="T21" s="81">
        <f t="shared" si="3"/>
        <v>8</v>
      </c>
    </row>
    <row r="22" spans="1:20" s="169" customFormat="1" ht="13.2">
      <c r="A22" s="164"/>
      <c r="B22" s="171" t="s">
        <v>377</v>
      </c>
      <c r="C22" s="166"/>
      <c r="D22" s="172">
        <v>220</v>
      </c>
      <c r="E22" s="172">
        <v>220</v>
      </c>
      <c r="F22" s="172">
        <v>220</v>
      </c>
      <c r="G22" s="172">
        <v>220</v>
      </c>
      <c r="H22" s="172">
        <v>220</v>
      </c>
      <c r="I22" s="172">
        <v>220</v>
      </c>
      <c r="J22" s="172">
        <v>220</v>
      </c>
      <c r="K22" s="172">
        <v>220</v>
      </c>
      <c r="L22" s="172">
        <v>220</v>
      </c>
      <c r="M22" s="172">
        <v>220</v>
      </c>
      <c r="N22" s="172">
        <v>220</v>
      </c>
      <c r="O22" s="172">
        <v>220</v>
      </c>
      <c r="P22" s="172">
        <v>220</v>
      </c>
      <c r="Q22" s="172">
        <v>220</v>
      </c>
      <c r="R22" s="172">
        <v>220</v>
      </c>
      <c r="S22" s="168"/>
      <c r="T22" s="81">
        <f t="shared" si="3"/>
        <v>15</v>
      </c>
    </row>
    <row r="23" spans="1:20" s="169" customFormat="1" ht="13.2">
      <c r="A23" s="164"/>
      <c r="B23" s="171" t="s">
        <v>406</v>
      </c>
      <c r="C23" s="171"/>
      <c r="D23" s="151"/>
      <c r="E23" s="151">
        <v>5</v>
      </c>
      <c r="F23" s="151"/>
      <c r="G23" s="153">
        <v>5</v>
      </c>
      <c r="H23" s="151">
        <v>5</v>
      </c>
      <c r="I23" s="151"/>
      <c r="J23" s="154">
        <v>5</v>
      </c>
      <c r="K23" s="151">
        <v>6</v>
      </c>
      <c r="L23" s="151">
        <v>6</v>
      </c>
      <c r="M23" s="151">
        <v>5</v>
      </c>
      <c r="N23" s="151">
        <v>5</v>
      </c>
      <c r="O23" s="151"/>
      <c r="P23" s="153"/>
      <c r="Q23" s="151"/>
      <c r="R23" s="155"/>
      <c r="S23" s="168">
        <f t="shared" ref="S23:S30" si="7">SUM(D23:R23)</f>
        <v>42</v>
      </c>
      <c r="T23" s="81">
        <f t="shared" si="3"/>
        <v>8</v>
      </c>
    </row>
    <row r="24" spans="1:20" s="169" customFormat="1" ht="13.2">
      <c r="A24" s="164"/>
      <c r="B24" s="171" t="s">
        <v>407</v>
      </c>
      <c r="C24" s="166"/>
      <c r="D24" s="172" t="e">
        <f>D20/D23</f>
        <v>#DIV/0!</v>
      </c>
      <c r="E24" s="172">
        <f t="shared" ref="E24:R24" si="8">E20/E23</f>
        <v>667.04</v>
      </c>
      <c r="F24" s="172" t="e">
        <f t="shared" si="8"/>
        <v>#DIV/0!</v>
      </c>
      <c r="G24" s="172">
        <f t="shared" si="8"/>
        <v>1097.3600000000001</v>
      </c>
      <c r="H24" s="172">
        <f t="shared" si="8"/>
        <v>755.7</v>
      </c>
      <c r="I24" s="172" t="e">
        <f t="shared" si="8"/>
        <v>#DIV/0!</v>
      </c>
      <c r="J24" s="172">
        <f t="shared" si="8"/>
        <v>1726.78</v>
      </c>
      <c r="K24" s="172">
        <f t="shared" si="8"/>
        <v>765.23333333333346</v>
      </c>
      <c r="L24" s="172">
        <f t="shared" si="8"/>
        <v>756.7266666666668</v>
      </c>
      <c r="M24" s="172">
        <f t="shared" si="8"/>
        <v>1261.3040000000001</v>
      </c>
      <c r="N24" s="172">
        <f t="shared" si="8"/>
        <v>1152.58</v>
      </c>
      <c r="O24" s="172" t="e">
        <f t="shared" si="8"/>
        <v>#DIV/0!</v>
      </c>
      <c r="P24" s="172" t="e">
        <f t="shared" si="8"/>
        <v>#DIV/0!</v>
      </c>
      <c r="Q24" s="172" t="e">
        <f t="shared" si="8"/>
        <v>#DIV/0!</v>
      </c>
      <c r="R24" s="172" t="e">
        <f t="shared" si="8"/>
        <v>#DIV/0!</v>
      </c>
      <c r="S24" s="168" t="e">
        <f t="shared" si="7"/>
        <v>#DIV/0!</v>
      </c>
      <c r="T24" s="81">
        <f t="shared" si="3"/>
        <v>8</v>
      </c>
    </row>
    <row r="25" spans="1:20" ht="13.2">
      <c r="A25" s="113">
        <v>1</v>
      </c>
      <c r="B25" s="156" t="s">
        <v>409</v>
      </c>
      <c r="C25" s="157"/>
      <c r="D25" s="158"/>
      <c r="E25" s="158"/>
      <c r="F25" s="158"/>
      <c r="G25" s="159"/>
      <c r="H25" s="158"/>
      <c r="I25" s="158"/>
      <c r="J25" s="160">
        <v>1374</v>
      </c>
      <c r="K25" s="158">
        <v>673</v>
      </c>
      <c r="L25" s="158">
        <v>756</v>
      </c>
      <c r="M25" s="158"/>
      <c r="N25" s="158"/>
      <c r="O25" s="158"/>
      <c r="P25" s="159"/>
      <c r="Q25" s="158"/>
      <c r="R25" s="161"/>
      <c r="S25" s="158">
        <f t="shared" si="7"/>
        <v>2803</v>
      </c>
      <c r="T25" s="81">
        <f t="shared" si="3"/>
        <v>3</v>
      </c>
    </row>
    <row r="26" spans="1:20" ht="13.2">
      <c r="A26" s="113">
        <v>2</v>
      </c>
      <c r="B26" s="156" t="s">
        <v>218</v>
      </c>
      <c r="C26" s="157">
        <v>101818174092</v>
      </c>
      <c r="D26" s="158"/>
      <c r="E26" s="158">
        <v>661</v>
      </c>
      <c r="F26" s="158">
        <v>550</v>
      </c>
      <c r="G26" s="159">
        <v>1097</v>
      </c>
      <c r="H26" s="158">
        <v>755</v>
      </c>
      <c r="I26" s="158"/>
      <c r="J26" s="160"/>
      <c r="K26" s="158">
        <v>789</v>
      </c>
      <c r="L26" s="158">
        <v>756</v>
      </c>
      <c r="M26" s="158">
        <v>1261</v>
      </c>
      <c r="N26" s="158">
        <v>1152</v>
      </c>
      <c r="O26" s="158"/>
      <c r="P26" s="159"/>
      <c r="Q26" s="158"/>
      <c r="R26" s="161"/>
      <c r="S26" s="158">
        <f t="shared" si="7"/>
        <v>7021</v>
      </c>
      <c r="T26" s="81">
        <f t="shared" si="3"/>
        <v>8</v>
      </c>
    </row>
    <row r="27" spans="1:20" ht="13.2">
      <c r="A27" s="113">
        <v>3</v>
      </c>
      <c r="B27" s="156" t="s">
        <v>198</v>
      </c>
      <c r="C27" s="157">
        <v>102004077854</v>
      </c>
      <c r="D27" s="158"/>
      <c r="E27" s="158">
        <v>661</v>
      </c>
      <c r="F27" s="158">
        <v>550</v>
      </c>
      <c r="G27" s="159">
        <v>1097</v>
      </c>
      <c r="H27" s="158">
        <v>755</v>
      </c>
      <c r="I27" s="158"/>
      <c r="J27" s="160">
        <v>1814</v>
      </c>
      <c r="K27" s="158">
        <v>789</v>
      </c>
      <c r="L27" s="158">
        <v>756</v>
      </c>
      <c r="M27" s="158">
        <v>1261</v>
      </c>
      <c r="N27" s="158">
        <v>1152</v>
      </c>
      <c r="O27" s="158"/>
      <c r="P27" s="159"/>
      <c r="Q27" s="158"/>
      <c r="R27" s="161"/>
      <c r="S27" s="158">
        <f t="shared" si="7"/>
        <v>8835</v>
      </c>
      <c r="T27" s="194">
        <f>COUNT(D27:R27)+1</f>
        <v>10</v>
      </c>
    </row>
    <row r="28" spans="1:20" ht="13.2">
      <c r="A28" s="113">
        <v>4</v>
      </c>
      <c r="B28" s="156" t="s">
        <v>193</v>
      </c>
      <c r="C28" s="157">
        <v>101817173110</v>
      </c>
      <c r="D28" s="158"/>
      <c r="E28" s="158">
        <v>661</v>
      </c>
      <c r="F28" s="158">
        <v>550</v>
      </c>
      <c r="G28" s="159">
        <v>1097</v>
      </c>
      <c r="H28" s="158">
        <v>755</v>
      </c>
      <c r="I28" s="158"/>
      <c r="J28" s="160">
        <v>1814</v>
      </c>
      <c r="K28" s="158">
        <v>789</v>
      </c>
      <c r="L28" s="158">
        <v>756</v>
      </c>
      <c r="M28" s="158">
        <v>1261</v>
      </c>
      <c r="N28" s="158">
        <v>1152</v>
      </c>
      <c r="O28" s="158"/>
      <c r="P28" s="159"/>
      <c r="Q28" s="158"/>
      <c r="R28" s="161"/>
      <c r="S28" s="158">
        <f t="shared" si="7"/>
        <v>8835</v>
      </c>
      <c r="T28" s="81">
        <f t="shared" ref="T28:T37" si="9">COUNT(D28:R28)</f>
        <v>9</v>
      </c>
    </row>
    <row r="29" spans="1:20" ht="13.2">
      <c r="A29" s="113">
        <v>5</v>
      </c>
      <c r="B29" s="156" t="s">
        <v>175</v>
      </c>
      <c r="C29" s="157">
        <v>102120964651</v>
      </c>
      <c r="D29" s="158"/>
      <c r="E29" s="158">
        <v>661</v>
      </c>
      <c r="F29" s="158">
        <v>550</v>
      </c>
      <c r="G29" s="159">
        <v>1097</v>
      </c>
      <c r="H29" s="158">
        <v>755</v>
      </c>
      <c r="I29" s="158"/>
      <c r="J29" s="160">
        <v>1814</v>
      </c>
      <c r="K29" s="158">
        <v>789</v>
      </c>
      <c r="L29" s="158">
        <v>756</v>
      </c>
      <c r="M29" s="158">
        <v>1261</v>
      </c>
      <c r="N29" s="158">
        <v>1152</v>
      </c>
      <c r="O29" s="158"/>
      <c r="P29" s="159"/>
      <c r="Q29" s="158"/>
      <c r="R29" s="161"/>
      <c r="S29" s="158">
        <f t="shared" si="7"/>
        <v>8835</v>
      </c>
      <c r="T29" s="81">
        <f t="shared" si="9"/>
        <v>9</v>
      </c>
    </row>
    <row r="30" spans="1:20" ht="13.2">
      <c r="A30" s="113">
        <v>6</v>
      </c>
      <c r="B30" s="156" t="s">
        <v>177</v>
      </c>
      <c r="C30" s="173">
        <v>101432431093</v>
      </c>
      <c r="D30" s="158"/>
      <c r="E30" s="158">
        <v>661</v>
      </c>
      <c r="F30" s="158">
        <v>550</v>
      </c>
      <c r="G30" s="159">
        <v>1097</v>
      </c>
      <c r="H30" s="158">
        <v>755</v>
      </c>
      <c r="I30" s="158"/>
      <c r="J30" s="160">
        <v>1814</v>
      </c>
      <c r="K30" s="158">
        <v>789</v>
      </c>
      <c r="L30" s="158">
        <v>756</v>
      </c>
      <c r="M30" s="158">
        <v>1261</v>
      </c>
      <c r="N30" s="158">
        <v>1152</v>
      </c>
      <c r="O30" s="158"/>
      <c r="P30" s="159"/>
      <c r="Q30" s="158"/>
      <c r="R30" s="161"/>
      <c r="S30" s="158">
        <f t="shared" si="7"/>
        <v>8835</v>
      </c>
      <c r="T30" s="81">
        <f t="shared" si="9"/>
        <v>9</v>
      </c>
    </row>
    <row r="31" spans="1:20" s="163" customFormat="1" ht="13.2">
      <c r="A31" s="118"/>
      <c r="B31" s="119" t="s">
        <v>366</v>
      </c>
      <c r="C31" s="120"/>
      <c r="D31" s="121">
        <f t="shared" ref="D31:S31" si="10">SUM(D25:D30)</f>
        <v>0</v>
      </c>
      <c r="E31" s="121">
        <f t="shared" si="10"/>
        <v>3305</v>
      </c>
      <c r="F31" s="121">
        <f t="shared" si="10"/>
        <v>2750</v>
      </c>
      <c r="G31" s="121">
        <f t="shared" si="10"/>
        <v>5485</v>
      </c>
      <c r="H31" s="121">
        <f t="shared" si="10"/>
        <v>3775</v>
      </c>
      <c r="I31" s="121">
        <f t="shared" si="10"/>
        <v>0</v>
      </c>
      <c r="J31" s="121">
        <f t="shared" si="10"/>
        <v>8630</v>
      </c>
      <c r="K31" s="121">
        <f t="shared" si="10"/>
        <v>4618</v>
      </c>
      <c r="L31" s="121">
        <f t="shared" si="10"/>
        <v>4536</v>
      </c>
      <c r="M31" s="121">
        <f t="shared" si="10"/>
        <v>6305</v>
      </c>
      <c r="N31" s="121">
        <f t="shared" si="10"/>
        <v>5760</v>
      </c>
      <c r="O31" s="121">
        <f t="shared" si="10"/>
        <v>0</v>
      </c>
      <c r="P31" s="121">
        <f t="shared" si="10"/>
        <v>0</v>
      </c>
      <c r="Q31" s="121">
        <f t="shared" si="10"/>
        <v>0</v>
      </c>
      <c r="R31" s="121">
        <f t="shared" si="10"/>
        <v>0</v>
      </c>
      <c r="S31" s="121">
        <f t="shared" si="10"/>
        <v>45164</v>
      </c>
      <c r="T31" s="81">
        <f t="shared" si="9"/>
        <v>15</v>
      </c>
    </row>
    <row r="32" spans="1:20" s="179" customFormat="1" ht="13.2">
      <c r="A32" s="174"/>
      <c r="B32" s="175" t="s">
        <v>410</v>
      </c>
      <c r="C32" s="176"/>
      <c r="D32" s="177">
        <f t="shared" ref="D32:R32" si="11">D31-D20</f>
        <v>0</v>
      </c>
      <c r="E32" s="177">
        <f t="shared" si="11"/>
        <v>-30.199999999999818</v>
      </c>
      <c r="F32" s="177">
        <f t="shared" si="11"/>
        <v>2750</v>
      </c>
      <c r="G32" s="177">
        <f t="shared" si="11"/>
        <v>-1.8000000000001819</v>
      </c>
      <c r="H32" s="177">
        <f t="shared" si="11"/>
        <v>-3.5</v>
      </c>
      <c r="I32" s="177">
        <f t="shared" si="11"/>
        <v>0</v>
      </c>
      <c r="J32" s="177">
        <f t="shared" si="11"/>
        <v>-3.8999999999996362</v>
      </c>
      <c r="K32" s="177">
        <f t="shared" si="11"/>
        <v>26.599999999999454</v>
      </c>
      <c r="L32" s="177">
        <f t="shared" si="11"/>
        <v>-4.3600000000005821</v>
      </c>
      <c r="M32" s="177">
        <f t="shared" si="11"/>
        <v>-1.5200000000004366</v>
      </c>
      <c r="N32" s="177">
        <f t="shared" si="11"/>
        <v>-2.8999999999996362</v>
      </c>
      <c r="O32" s="177">
        <f t="shared" si="11"/>
        <v>0</v>
      </c>
      <c r="P32" s="177">
        <f t="shared" si="11"/>
        <v>0</v>
      </c>
      <c r="Q32" s="177">
        <f t="shared" si="11"/>
        <v>0</v>
      </c>
      <c r="R32" s="177">
        <f t="shared" si="11"/>
        <v>0</v>
      </c>
      <c r="S32" s="178">
        <f>SUM(D32:R32)</f>
        <v>2728.4199999999992</v>
      </c>
      <c r="T32" s="81">
        <f t="shared" si="9"/>
        <v>15</v>
      </c>
    </row>
    <row r="33" spans="1:20" s="179" customFormat="1" ht="13.2">
      <c r="A33" s="174"/>
      <c r="B33" s="175" t="s">
        <v>404</v>
      </c>
      <c r="C33" s="176"/>
      <c r="D33" s="178">
        <f>D34*D35</f>
        <v>0</v>
      </c>
      <c r="E33" s="178">
        <f t="shared" ref="E33:R33" si="12">E34*E35</f>
        <v>3007.3599999999997</v>
      </c>
      <c r="F33" s="178">
        <f t="shared" si="12"/>
        <v>7406.72</v>
      </c>
      <c r="G33" s="178">
        <f t="shared" si="12"/>
        <v>6368.32</v>
      </c>
      <c r="H33" s="178">
        <f t="shared" si="12"/>
        <v>7246.4</v>
      </c>
      <c r="I33" s="178">
        <f t="shared" si="12"/>
        <v>0</v>
      </c>
      <c r="J33" s="178">
        <f t="shared" si="12"/>
        <v>4467.84</v>
      </c>
      <c r="K33" s="178">
        <f t="shared" si="12"/>
        <v>7779.2</v>
      </c>
      <c r="L33" s="178">
        <f t="shared" si="12"/>
        <v>7536</v>
      </c>
      <c r="M33" s="178">
        <f t="shared" si="12"/>
        <v>6662.4</v>
      </c>
      <c r="N33" s="178">
        <f t="shared" si="12"/>
        <v>5726.72</v>
      </c>
      <c r="O33" s="178">
        <f t="shared" si="12"/>
        <v>4979.5200000000004</v>
      </c>
      <c r="P33" s="178">
        <f t="shared" si="12"/>
        <v>0</v>
      </c>
      <c r="Q33" s="178">
        <f t="shared" si="12"/>
        <v>7190.4</v>
      </c>
      <c r="R33" s="178">
        <f t="shared" si="12"/>
        <v>7420.48</v>
      </c>
      <c r="S33" s="178">
        <f>SUM(D33:R33)</f>
        <v>75791.360000000001</v>
      </c>
      <c r="T33" s="81">
        <f t="shared" si="9"/>
        <v>15</v>
      </c>
    </row>
    <row r="34" spans="1:20" s="179" customFormat="1" ht="13.2">
      <c r="A34" s="174"/>
      <c r="B34" s="175" t="s">
        <v>405</v>
      </c>
      <c r="C34" s="180"/>
      <c r="D34" s="151"/>
      <c r="E34" s="151">
        <v>9.3979999999999997</v>
      </c>
      <c r="F34" s="151">
        <v>23.146000000000001</v>
      </c>
      <c r="G34" s="153">
        <v>19.901</v>
      </c>
      <c r="H34" s="151">
        <v>22.645</v>
      </c>
      <c r="I34" s="151"/>
      <c r="J34" s="154">
        <v>13.962</v>
      </c>
      <c r="K34" s="151">
        <v>24.31</v>
      </c>
      <c r="L34" s="151">
        <v>23.55</v>
      </c>
      <c r="M34" s="151">
        <v>20.82</v>
      </c>
      <c r="N34" s="151">
        <v>17.896000000000001</v>
      </c>
      <c r="O34" s="151">
        <v>15.561</v>
      </c>
      <c r="P34" s="153"/>
      <c r="Q34" s="151">
        <v>22.47</v>
      </c>
      <c r="R34" s="155">
        <v>23.189</v>
      </c>
      <c r="S34" s="178">
        <f>SUM(D34:R34)</f>
        <v>236.84799999999998</v>
      </c>
      <c r="T34" s="81">
        <f t="shared" si="9"/>
        <v>12</v>
      </c>
    </row>
    <row r="35" spans="1:20" s="179" customFormat="1" ht="13.2">
      <c r="A35" s="174"/>
      <c r="B35" s="175" t="s">
        <v>377</v>
      </c>
      <c r="C35" s="176"/>
      <c r="D35" s="181">
        <v>320</v>
      </c>
      <c r="E35" s="181">
        <v>320</v>
      </c>
      <c r="F35" s="181">
        <v>320</v>
      </c>
      <c r="G35" s="181">
        <v>320</v>
      </c>
      <c r="H35" s="181">
        <v>320</v>
      </c>
      <c r="I35" s="181">
        <v>320</v>
      </c>
      <c r="J35" s="181">
        <v>320</v>
      </c>
      <c r="K35" s="181">
        <v>320</v>
      </c>
      <c r="L35" s="181">
        <v>320</v>
      </c>
      <c r="M35" s="181">
        <v>320</v>
      </c>
      <c r="N35" s="181">
        <v>320</v>
      </c>
      <c r="O35" s="181">
        <v>320</v>
      </c>
      <c r="P35" s="181">
        <v>320</v>
      </c>
      <c r="Q35" s="181">
        <v>320</v>
      </c>
      <c r="R35" s="181">
        <v>320</v>
      </c>
      <c r="S35" s="178"/>
      <c r="T35" s="81">
        <f t="shared" si="9"/>
        <v>15</v>
      </c>
    </row>
    <row r="36" spans="1:20" s="179" customFormat="1" ht="13.2">
      <c r="A36" s="174"/>
      <c r="B36" s="180" t="s">
        <v>406</v>
      </c>
      <c r="C36" s="180"/>
      <c r="D36" s="151"/>
      <c r="E36" s="151">
        <v>5</v>
      </c>
      <c r="F36" s="151">
        <v>7</v>
      </c>
      <c r="G36" s="153">
        <v>7</v>
      </c>
      <c r="H36" s="151">
        <v>8</v>
      </c>
      <c r="I36" s="151"/>
      <c r="J36" s="154">
        <v>7</v>
      </c>
      <c r="K36" s="151">
        <v>7</v>
      </c>
      <c r="L36" s="151">
        <v>7</v>
      </c>
      <c r="M36" s="151">
        <v>8</v>
      </c>
      <c r="N36" s="151">
        <v>8</v>
      </c>
      <c r="O36" s="151">
        <v>8</v>
      </c>
      <c r="P36" s="153"/>
      <c r="Q36" s="151">
        <v>7</v>
      </c>
      <c r="R36" s="155">
        <v>7</v>
      </c>
      <c r="S36" s="178">
        <f t="shared" ref="S36:S50" si="13">SUM(D36:R36)</f>
        <v>86</v>
      </c>
      <c r="T36" s="81">
        <f t="shared" si="9"/>
        <v>12</v>
      </c>
    </row>
    <row r="37" spans="1:20" s="179" customFormat="1" ht="13.2">
      <c r="A37" s="174"/>
      <c r="B37" s="180" t="s">
        <v>407</v>
      </c>
      <c r="C37" s="176"/>
      <c r="D37" s="181" t="e">
        <f t="shared" ref="D37:R37" si="14">D33/D36</f>
        <v>#DIV/0!</v>
      </c>
      <c r="E37" s="181">
        <f t="shared" si="14"/>
        <v>601.47199999999998</v>
      </c>
      <c r="F37" s="181">
        <f t="shared" si="14"/>
        <v>1058.1028571428571</v>
      </c>
      <c r="G37" s="181">
        <f t="shared" si="14"/>
        <v>909.76</v>
      </c>
      <c r="H37" s="181">
        <f t="shared" si="14"/>
        <v>905.8</v>
      </c>
      <c r="I37" s="181" t="e">
        <f t="shared" si="14"/>
        <v>#DIV/0!</v>
      </c>
      <c r="J37" s="181">
        <f t="shared" si="14"/>
        <v>638.26285714285711</v>
      </c>
      <c r="K37" s="181">
        <f t="shared" si="14"/>
        <v>1111.3142857142857</v>
      </c>
      <c r="L37" s="181">
        <f t="shared" si="14"/>
        <v>1076.5714285714287</v>
      </c>
      <c r="M37" s="181">
        <f t="shared" si="14"/>
        <v>832.8</v>
      </c>
      <c r="N37" s="181">
        <f t="shared" si="14"/>
        <v>715.84</v>
      </c>
      <c r="O37" s="181">
        <f t="shared" si="14"/>
        <v>622.44000000000005</v>
      </c>
      <c r="P37" s="181" t="e">
        <f t="shared" si="14"/>
        <v>#DIV/0!</v>
      </c>
      <c r="Q37" s="181">
        <f t="shared" si="14"/>
        <v>1027.2</v>
      </c>
      <c r="R37" s="181">
        <f t="shared" si="14"/>
        <v>1060.0685714285714</v>
      </c>
      <c r="S37" s="178" t="e">
        <f t="shared" si="13"/>
        <v>#DIV/0!</v>
      </c>
      <c r="T37" s="81">
        <f t="shared" si="9"/>
        <v>12</v>
      </c>
    </row>
    <row r="38" spans="1:20" ht="13.2">
      <c r="A38" s="113">
        <v>1</v>
      </c>
      <c r="B38" s="156" t="s">
        <v>232</v>
      </c>
      <c r="C38" s="157">
        <v>101407413648</v>
      </c>
      <c r="D38" s="158"/>
      <c r="E38" s="158"/>
      <c r="F38" s="158">
        <v>959</v>
      </c>
      <c r="G38" s="159">
        <v>846</v>
      </c>
      <c r="H38" s="158">
        <v>905</v>
      </c>
      <c r="I38" s="158"/>
      <c r="J38" s="160">
        <v>638</v>
      </c>
      <c r="K38" s="158">
        <v>1109</v>
      </c>
      <c r="L38" s="158">
        <v>1005</v>
      </c>
      <c r="M38" s="158">
        <v>832</v>
      </c>
      <c r="N38" s="158">
        <v>716</v>
      </c>
      <c r="O38" s="158">
        <v>622</v>
      </c>
      <c r="P38" s="159"/>
      <c r="Q38" s="158">
        <v>1104</v>
      </c>
      <c r="R38" s="161">
        <v>1126</v>
      </c>
      <c r="S38" s="158">
        <f t="shared" si="13"/>
        <v>9862</v>
      </c>
      <c r="T38" s="194">
        <f>COUNT(D38:R38)+1</f>
        <v>12</v>
      </c>
    </row>
    <row r="39" spans="1:20" ht="13.2">
      <c r="A39" s="113">
        <v>2</v>
      </c>
      <c r="B39" s="156" t="s">
        <v>224</v>
      </c>
      <c r="C39" s="157">
        <v>101373078654</v>
      </c>
      <c r="D39" s="158"/>
      <c r="E39" s="158"/>
      <c r="F39" s="158">
        <v>959</v>
      </c>
      <c r="G39" s="159">
        <v>443</v>
      </c>
      <c r="H39" s="158">
        <v>905</v>
      </c>
      <c r="I39" s="158"/>
      <c r="J39" s="160">
        <v>638</v>
      </c>
      <c r="K39" s="158">
        <v>1109</v>
      </c>
      <c r="L39" s="158">
        <v>1005</v>
      </c>
      <c r="M39" s="158">
        <v>832</v>
      </c>
      <c r="N39" s="158">
        <v>716</v>
      </c>
      <c r="O39" s="158">
        <v>622</v>
      </c>
      <c r="P39" s="159"/>
      <c r="Q39" s="158">
        <v>1104</v>
      </c>
      <c r="R39" s="161">
        <v>1126</v>
      </c>
      <c r="S39" s="158">
        <f t="shared" si="13"/>
        <v>9459</v>
      </c>
      <c r="T39" s="81">
        <f t="shared" ref="T39:T66" si="15">COUNT(D39:R39)</f>
        <v>11</v>
      </c>
    </row>
    <row r="40" spans="1:20" ht="13.2">
      <c r="A40" s="113">
        <v>3</v>
      </c>
      <c r="B40" s="156" t="s">
        <v>231</v>
      </c>
      <c r="C40" s="157">
        <v>101391642731</v>
      </c>
      <c r="D40" s="158"/>
      <c r="E40" s="158"/>
      <c r="F40" s="158">
        <v>959</v>
      </c>
      <c r="G40" s="159">
        <v>846</v>
      </c>
      <c r="H40" s="158">
        <v>905</v>
      </c>
      <c r="I40" s="158"/>
      <c r="J40" s="160"/>
      <c r="K40" s="158">
        <v>1109</v>
      </c>
      <c r="L40" s="158">
        <v>1005</v>
      </c>
      <c r="M40" s="158">
        <v>832</v>
      </c>
      <c r="N40" s="158">
        <v>716</v>
      </c>
      <c r="O40" s="158">
        <v>622</v>
      </c>
      <c r="P40" s="159"/>
      <c r="Q40" s="158">
        <v>1104</v>
      </c>
      <c r="R40" s="161">
        <v>1126</v>
      </c>
      <c r="S40" s="158">
        <f t="shared" si="13"/>
        <v>9224</v>
      </c>
      <c r="T40" s="81">
        <f t="shared" si="15"/>
        <v>10</v>
      </c>
    </row>
    <row r="41" spans="1:20" ht="13.2">
      <c r="A41" s="113">
        <v>4</v>
      </c>
      <c r="B41" s="156" t="s">
        <v>230</v>
      </c>
      <c r="C41" s="157">
        <v>101475170616</v>
      </c>
      <c r="D41" s="158"/>
      <c r="E41" s="158"/>
      <c r="F41" s="158">
        <v>959</v>
      </c>
      <c r="G41" s="159">
        <v>846</v>
      </c>
      <c r="H41" s="158">
        <v>905</v>
      </c>
      <c r="I41" s="158"/>
      <c r="J41" s="160">
        <v>638</v>
      </c>
      <c r="K41" s="158">
        <v>1109</v>
      </c>
      <c r="L41" s="158">
        <v>1005</v>
      </c>
      <c r="M41" s="158">
        <v>832</v>
      </c>
      <c r="N41" s="158">
        <v>716</v>
      </c>
      <c r="O41" s="158">
        <v>622</v>
      </c>
      <c r="P41" s="159"/>
      <c r="Q41" s="158">
        <v>1012</v>
      </c>
      <c r="R41" s="161">
        <v>1126</v>
      </c>
      <c r="S41" s="158">
        <f t="shared" si="13"/>
        <v>9770</v>
      </c>
      <c r="T41" s="81">
        <f t="shared" si="15"/>
        <v>11</v>
      </c>
    </row>
    <row r="42" spans="1:20" ht="13.2">
      <c r="A42" s="113">
        <v>5</v>
      </c>
      <c r="B42" s="156" t="s">
        <v>226</v>
      </c>
      <c r="C42" s="157">
        <v>101520450548</v>
      </c>
      <c r="D42" s="158"/>
      <c r="E42" s="158"/>
      <c r="F42" s="158">
        <v>959</v>
      </c>
      <c r="G42" s="159">
        <v>846</v>
      </c>
      <c r="H42" s="158">
        <v>905</v>
      </c>
      <c r="I42" s="158"/>
      <c r="J42" s="160">
        <v>638</v>
      </c>
      <c r="K42" s="158">
        <v>1109</v>
      </c>
      <c r="L42" s="158">
        <v>1005</v>
      </c>
      <c r="M42" s="158">
        <v>832</v>
      </c>
      <c r="N42" s="158">
        <v>716</v>
      </c>
      <c r="O42" s="158">
        <v>622</v>
      </c>
      <c r="P42" s="159"/>
      <c r="Q42" s="158">
        <v>1104</v>
      </c>
      <c r="R42" s="161">
        <v>1126</v>
      </c>
      <c r="S42" s="158">
        <f t="shared" si="13"/>
        <v>9862</v>
      </c>
      <c r="T42" s="81">
        <f t="shared" si="15"/>
        <v>11</v>
      </c>
    </row>
    <row r="43" spans="1:20" ht="13.2">
      <c r="A43" s="113">
        <v>6</v>
      </c>
      <c r="B43" s="156" t="s">
        <v>411</v>
      </c>
      <c r="C43" s="173"/>
      <c r="D43" s="158"/>
      <c r="E43" s="158">
        <v>601</v>
      </c>
      <c r="F43" s="158">
        <v>689</v>
      </c>
      <c r="G43" s="159">
        <v>846</v>
      </c>
      <c r="H43" s="158">
        <v>905</v>
      </c>
      <c r="I43" s="158"/>
      <c r="J43" s="160"/>
      <c r="K43" s="158"/>
      <c r="L43" s="158"/>
      <c r="M43" s="158"/>
      <c r="N43" s="158"/>
      <c r="O43" s="158"/>
      <c r="P43" s="159"/>
      <c r="Q43" s="158"/>
      <c r="R43" s="161"/>
      <c r="S43" s="158">
        <f t="shared" si="13"/>
        <v>3041</v>
      </c>
      <c r="T43" s="81">
        <f t="shared" si="15"/>
        <v>4</v>
      </c>
    </row>
    <row r="44" spans="1:20" ht="13.2">
      <c r="A44" s="113">
        <v>7</v>
      </c>
      <c r="B44" s="156" t="s">
        <v>412</v>
      </c>
      <c r="C44" s="157"/>
      <c r="D44" s="158"/>
      <c r="E44" s="158">
        <v>601</v>
      </c>
      <c r="F44" s="158">
        <v>959</v>
      </c>
      <c r="G44" s="159">
        <v>846</v>
      </c>
      <c r="H44" s="158">
        <v>905</v>
      </c>
      <c r="I44" s="158"/>
      <c r="J44" s="160">
        <v>638</v>
      </c>
      <c r="K44" s="158">
        <v>1109</v>
      </c>
      <c r="L44" s="158">
        <v>1005</v>
      </c>
      <c r="M44" s="158">
        <v>832</v>
      </c>
      <c r="N44" s="158">
        <v>716</v>
      </c>
      <c r="O44" s="158">
        <v>622</v>
      </c>
      <c r="P44" s="159"/>
      <c r="Q44" s="158">
        <v>1104</v>
      </c>
      <c r="R44" s="161">
        <v>1126</v>
      </c>
      <c r="S44" s="158">
        <f t="shared" si="13"/>
        <v>10463</v>
      </c>
      <c r="T44" s="81">
        <f t="shared" si="15"/>
        <v>12</v>
      </c>
    </row>
    <row r="45" spans="1:20" ht="13.2">
      <c r="A45" s="113">
        <v>8</v>
      </c>
      <c r="B45" s="162" t="s">
        <v>429</v>
      </c>
      <c r="C45" s="157"/>
      <c r="D45" s="158"/>
      <c r="E45" s="158">
        <v>601</v>
      </c>
      <c r="F45" s="158"/>
      <c r="G45" s="159"/>
      <c r="H45" s="158"/>
      <c r="I45" s="158"/>
      <c r="J45" s="160"/>
      <c r="K45" s="158"/>
      <c r="L45" s="158"/>
      <c r="M45" s="158"/>
      <c r="N45" s="158"/>
      <c r="O45" s="158"/>
      <c r="P45" s="159"/>
      <c r="Q45" s="158"/>
      <c r="R45" s="161"/>
      <c r="S45" s="158">
        <f t="shared" si="13"/>
        <v>601</v>
      </c>
      <c r="T45" s="81">
        <f t="shared" si="15"/>
        <v>1</v>
      </c>
    </row>
    <row r="46" spans="1:20" ht="13.2">
      <c r="A46" s="113">
        <v>9</v>
      </c>
      <c r="B46" s="156" t="s">
        <v>336</v>
      </c>
      <c r="C46" s="157"/>
      <c r="D46" s="158"/>
      <c r="E46" s="158"/>
      <c r="F46" s="158"/>
      <c r="G46" s="159"/>
      <c r="H46" s="158"/>
      <c r="I46" s="158"/>
      <c r="J46" s="160">
        <v>638</v>
      </c>
      <c r="K46" s="158"/>
      <c r="L46" s="158"/>
      <c r="M46" s="158">
        <v>832</v>
      </c>
      <c r="N46" s="158">
        <v>716</v>
      </c>
      <c r="O46" s="158">
        <v>622</v>
      </c>
      <c r="P46" s="159"/>
      <c r="Q46" s="158"/>
      <c r="R46" s="161"/>
      <c r="S46" s="158">
        <f t="shared" si="13"/>
        <v>2808</v>
      </c>
      <c r="T46" s="81">
        <f t="shared" si="15"/>
        <v>4</v>
      </c>
    </row>
    <row r="47" spans="1:20" ht="13.2">
      <c r="A47" s="113">
        <v>10</v>
      </c>
      <c r="B47" s="156" t="s">
        <v>415</v>
      </c>
      <c r="C47" s="125">
        <v>101835374035</v>
      </c>
      <c r="D47" s="158"/>
      <c r="E47" s="158">
        <v>601</v>
      </c>
      <c r="F47" s="158"/>
      <c r="G47" s="159"/>
      <c r="H47" s="158"/>
      <c r="I47" s="158"/>
      <c r="J47" s="160"/>
      <c r="K47" s="158"/>
      <c r="L47" s="158"/>
      <c r="M47" s="158"/>
      <c r="N47" s="158"/>
      <c r="O47" s="158"/>
      <c r="P47" s="159"/>
      <c r="Q47" s="158"/>
      <c r="R47" s="161"/>
      <c r="S47" s="158">
        <f t="shared" si="13"/>
        <v>601</v>
      </c>
      <c r="T47" s="81">
        <f t="shared" si="15"/>
        <v>1</v>
      </c>
    </row>
    <row r="48" spans="1:20" ht="13.2">
      <c r="A48" s="113">
        <v>11</v>
      </c>
      <c r="B48" s="156" t="s">
        <v>432</v>
      </c>
      <c r="C48" s="157"/>
      <c r="D48" s="158"/>
      <c r="E48" s="158">
        <v>601</v>
      </c>
      <c r="F48" s="158"/>
      <c r="G48" s="159"/>
      <c r="H48" s="158"/>
      <c r="I48" s="158"/>
      <c r="J48" s="160"/>
      <c r="K48" s="158"/>
      <c r="L48" s="158"/>
      <c r="M48" s="158"/>
      <c r="N48" s="158"/>
      <c r="O48" s="158"/>
      <c r="P48" s="159"/>
      <c r="Q48" s="158"/>
      <c r="R48" s="161"/>
      <c r="S48" s="158">
        <f t="shared" si="13"/>
        <v>601</v>
      </c>
      <c r="T48" s="81">
        <f t="shared" si="15"/>
        <v>1</v>
      </c>
    </row>
    <row r="49" spans="1:20" ht="13.2">
      <c r="A49" s="113">
        <v>12</v>
      </c>
      <c r="B49" s="156" t="s">
        <v>461</v>
      </c>
      <c r="C49" s="157"/>
      <c r="D49" s="158"/>
      <c r="E49" s="158"/>
      <c r="F49" s="158"/>
      <c r="G49" s="159"/>
      <c r="H49" s="158"/>
      <c r="I49" s="158"/>
      <c r="J49" s="160"/>
      <c r="K49" s="158">
        <v>500</v>
      </c>
      <c r="L49" s="158">
        <v>500</v>
      </c>
      <c r="M49" s="158"/>
      <c r="N49" s="158"/>
      <c r="O49" s="158"/>
      <c r="P49" s="159"/>
      <c r="Q49" s="158"/>
      <c r="R49" s="161"/>
      <c r="S49" s="158">
        <f t="shared" si="13"/>
        <v>1000</v>
      </c>
      <c r="T49" s="81">
        <f t="shared" si="15"/>
        <v>2</v>
      </c>
    </row>
    <row r="50" spans="1:20" ht="13.2">
      <c r="A50" s="113">
        <v>13</v>
      </c>
      <c r="B50" s="156" t="s">
        <v>219</v>
      </c>
      <c r="C50" s="157">
        <v>101747190938</v>
      </c>
      <c r="D50" s="158"/>
      <c r="E50" s="158"/>
      <c r="F50" s="158">
        <v>959</v>
      </c>
      <c r="G50" s="159">
        <v>846</v>
      </c>
      <c r="H50" s="158">
        <v>905</v>
      </c>
      <c r="I50" s="158"/>
      <c r="J50" s="160">
        <v>638</v>
      </c>
      <c r="K50" s="158">
        <v>1109</v>
      </c>
      <c r="L50" s="158">
        <v>1005</v>
      </c>
      <c r="M50" s="158">
        <v>832</v>
      </c>
      <c r="N50" s="158">
        <v>716</v>
      </c>
      <c r="O50" s="158">
        <v>622</v>
      </c>
      <c r="P50" s="159"/>
      <c r="Q50" s="158">
        <v>1104</v>
      </c>
      <c r="R50" s="161">
        <v>1126</v>
      </c>
      <c r="S50" s="158">
        <f t="shared" si="13"/>
        <v>9862</v>
      </c>
      <c r="T50" s="81">
        <f t="shared" si="15"/>
        <v>11</v>
      </c>
    </row>
    <row r="51" spans="1:20" s="163" customFormat="1" ht="13.2">
      <c r="A51" s="118"/>
      <c r="B51" s="119" t="s">
        <v>366</v>
      </c>
      <c r="C51" s="120"/>
      <c r="D51" s="121">
        <f t="shared" ref="D51:R51" si="16">SUM(D38:D50)</f>
        <v>0</v>
      </c>
      <c r="E51" s="121">
        <f t="shared" si="16"/>
        <v>3005</v>
      </c>
      <c r="F51" s="121">
        <f t="shared" si="16"/>
        <v>7402</v>
      </c>
      <c r="G51" s="121">
        <f t="shared" si="16"/>
        <v>6365</v>
      </c>
      <c r="H51" s="121">
        <f t="shared" si="16"/>
        <v>7240</v>
      </c>
      <c r="I51" s="121">
        <f t="shared" si="16"/>
        <v>0</v>
      </c>
      <c r="J51" s="121">
        <f t="shared" si="16"/>
        <v>4466</v>
      </c>
      <c r="K51" s="121">
        <f t="shared" si="16"/>
        <v>8263</v>
      </c>
      <c r="L51" s="121">
        <f t="shared" si="16"/>
        <v>7535</v>
      </c>
      <c r="M51" s="121">
        <f t="shared" si="16"/>
        <v>6656</v>
      </c>
      <c r="N51" s="121">
        <f t="shared" si="16"/>
        <v>5728</v>
      </c>
      <c r="O51" s="121">
        <f t="shared" si="16"/>
        <v>4976</v>
      </c>
      <c r="P51" s="121">
        <f t="shared" si="16"/>
        <v>0</v>
      </c>
      <c r="Q51" s="121">
        <f t="shared" si="16"/>
        <v>7636</v>
      </c>
      <c r="R51" s="121">
        <f t="shared" si="16"/>
        <v>7882</v>
      </c>
      <c r="S51" s="121">
        <f>SUM(S38:S43)</f>
        <v>51218</v>
      </c>
      <c r="T51" s="81">
        <f t="shared" si="15"/>
        <v>15</v>
      </c>
    </row>
    <row r="52" spans="1:20" s="187" customFormat="1" ht="13.2">
      <c r="A52" s="182"/>
      <c r="B52" s="183" t="s">
        <v>413</v>
      </c>
      <c r="C52" s="184"/>
      <c r="D52" s="185">
        <f t="shared" ref="D52:R52" si="17">D51-D33</f>
        <v>0</v>
      </c>
      <c r="E52" s="185">
        <f t="shared" si="17"/>
        <v>-2.3599999999996726</v>
      </c>
      <c r="F52" s="185">
        <f t="shared" si="17"/>
        <v>-4.7200000000002547</v>
      </c>
      <c r="G52" s="185">
        <f t="shared" si="17"/>
        <v>-3.319999999999709</v>
      </c>
      <c r="H52" s="185">
        <f t="shared" si="17"/>
        <v>-6.3999999999996362</v>
      </c>
      <c r="I52" s="185">
        <f t="shared" si="17"/>
        <v>0</v>
      </c>
      <c r="J52" s="185">
        <f t="shared" si="17"/>
        <v>-1.8400000000001455</v>
      </c>
      <c r="K52" s="185">
        <f t="shared" si="17"/>
        <v>483.80000000000018</v>
      </c>
      <c r="L52" s="185">
        <f t="shared" si="17"/>
        <v>-1</v>
      </c>
      <c r="M52" s="185">
        <f t="shared" si="17"/>
        <v>-6.3999999999996362</v>
      </c>
      <c r="N52" s="185">
        <f t="shared" si="17"/>
        <v>1.2799999999997453</v>
      </c>
      <c r="O52" s="185">
        <f t="shared" si="17"/>
        <v>-3.5200000000004366</v>
      </c>
      <c r="P52" s="185">
        <f t="shared" si="17"/>
        <v>0</v>
      </c>
      <c r="Q52" s="185">
        <f t="shared" si="17"/>
        <v>445.60000000000036</v>
      </c>
      <c r="R52" s="185">
        <f t="shared" si="17"/>
        <v>461.52000000000044</v>
      </c>
      <c r="S52" s="186">
        <f>SUM(D52:R52)</f>
        <v>1362.6400000000012</v>
      </c>
      <c r="T52" s="81">
        <f t="shared" si="15"/>
        <v>15</v>
      </c>
    </row>
    <row r="53" spans="1:20" s="187" customFormat="1" ht="13.2">
      <c r="A53" s="182"/>
      <c r="B53" s="188" t="s">
        <v>414</v>
      </c>
      <c r="C53" s="184"/>
      <c r="D53" s="186">
        <f>D55*D54</f>
        <v>0</v>
      </c>
      <c r="E53" s="186">
        <f t="shared" ref="E53:R53" si="18">E55*E54</f>
        <v>4636.8</v>
      </c>
      <c r="F53" s="186">
        <f t="shared" si="18"/>
        <v>4415.3599999999997</v>
      </c>
      <c r="G53" s="186">
        <f t="shared" si="18"/>
        <v>6310.4</v>
      </c>
      <c r="H53" s="186">
        <f t="shared" si="18"/>
        <v>6686.4</v>
      </c>
      <c r="I53" s="186">
        <f t="shared" si="18"/>
        <v>7056</v>
      </c>
      <c r="J53" s="186">
        <f t="shared" si="18"/>
        <v>5353.6</v>
      </c>
      <c r="K53" s="186">
        <f t="shared" si="18"/>
        <v>6206.4</v>
      </c>
      <c r="L53" s="186">
        <f t="shared" si="18"/>
        <v>6564.8</v>
      </c>
      <c r="M53" s="186">
        <f t="shared" si="18"/>
        <v>8452.48</v>
      </c>
      <c r="N53" s="186">
        <f t="shared" si="18"/>
        <v>7783.68</v>
      </c>
      <c r="O53" s="186">
        <f t="shared" si="18"/>
        <v>6423.68</v>
      </c>
      <c r="P53" s="186">
        <f t="shared" si="18"/>
        <v>0</v>
      </c>
      <c r="Q53" s="186">
        <f t="shared" si="18"/>
        <v>0</v>
      </c>
      <c r="R53" s="186">
        <f t="shared" si="18"/>
        <v>0</v>
      </c>
      <c r="S53" s="186">
        <f>SUM(D53:R53)</f>
        <v>69889.600000000006</v>
      </c>
      <c r="T53" s="81">
        <f t="shared" si="15"/>
        <v>15</v>
      </c>
    </row>
    <row r="54" spans="1:20" s="187" customFormat="1" ht="13.2">
      <c r="A54" s="182"/>
      <c r="B54" s="188" t="s">
        <v>405</v>
      </c>
      <c r="C54" s="189"/>
      <c r="D54" s="151"/>
      <c r="E54" s="151">
        <v>14.49</v>
      </c>
      <c r="F54" s="151">
        <v>13.798</v>
      </c>
      <c r="G54" s="153">
        <v>19.72</v>
      </c>
      <c r="H54" s="151">
        <v>20.895</v>
      </c>
      <c r="I54" s="151">
        <v>22.05</v>
      </c>
      <c r="J54" s="154">
        <v>16.73</v>
      </c>
      <c r="K54" s="151">
        <v>19.395</v>
      </c>
      <c r="L54" s="151">
        <v>20.515000000000001</v>
      </c>
      <c r="M54" s="151">
        <v>26.414000000000001</v>
      </c>
      <c r="N54" s="151">
        <v>24.324000000000002</v>
      </c>
      <c r="O54" s="151">
        <v>20.074000000000002</v>
      </c>
      <c r="P54" s="153"/>
      <c r="Q54" s="151"/>
      <c r="R54" s="155"/>
      <c r="S54" s="186">
        <f>SUM(D54:R54)</f>
        <v>218.40500000000003</v>
      </c>
      <c r="T54" s="81">
        <f t="shared" si="15"/>
        <v>11</v>
      </c>
    </row>
    <row r="55" spans="1:20" s="187" customFormat="1" ht="13.2">
      <c r="A55" s="182"/>
      <c r="B55" s="189" t="s">
        <v>377</v>
      </c>
      <c r="C55" s="184"/>
      <c r="D55" s="190">
        <v>320</v>
      </c>
      <c r="E55" s="190">
        <v>320</v>
      </c>
      <c r="F55" s="190">
        <v>320</v>
      </c>
      <c r="G55" s="190">
        <v>320</v>
      </c>
      <c r="H55" s="190">
        <v>320</v>
      </c>
      <c r="I55" s="190">
        <v>320</v>
      </c>
      <c r="J55" s="190">
        <v>320</v>
      </c>
      <c r="K55" s="190">
        <v>320</v>
      </c>
      <c r="L55" s="190">
        <v>320</v>
      </c>
      <c r="M55" s="190">
        <v>320</v>
      </c>
      <c r="N55" s="190">
        <v>320</v>
      </c>
      <c r="O55" s="190">
        <v>320</v>
      </c>
      <c r="P55" s="190">
        <v>320</v>
      </c>
      <c r="Q55" s="190">
        <v>320</v>
      </c>
      <c r="R55" s="190">
        <v>320</v>
      </c>
      <c r="S55" s="186"/>
      <c r="T55" s="81">
        <f t="shared" si="15"/>
        <v>15</v>
      </c>
    </row>
    <row r="56" spans="1:20" s="187" customFormat="1" ht="13.2">
      <c r="A56" s="182"/>
      <c r="B56" s="189" t="s">
        <v>406</v>
      </c>
      <c r="C56" s="189"/>
      <c r="D56" s="151"/>
      <c r="E56" s="151">
        <v>6</v>
      </c>
      <c r="F56" s="151">
        <v>6</v>
      </c>
      <c r="G56" s="153">
        <v>7</v>
      </c>
      <c r="H56" s="151">
        <v>7</v>
      </c>
      <c r="I56" s="151">
        <v>7</v>
      </c>
      <c r="J56" s="154">
        <v>6</v>
      </c>
      <c r="K56" s="151">
        <v>7</v>
      </c>
      <c r="L56" s="151">
        <v>7</v>
      </c>
      <c r="M56" s="151">
        <v>8</v>
      </c>
      <c r="N56" s="151">
        <v>9</v>
      </c>
      <c r="O56" s="151">
        <v>8</v>
      </c>
      <c r="P56" s="153"/>
      <c r="Q56" s="151"/>
      <c r="R56" s="155"/>
      <c r="S56" s="186">
        <f t="shared" ref="S56:S68" si="19">SUM(D56:R56)</f>
        <v>78</v>
      </c>
      <c r="T56" s="81">
        <f t="shared" si="15"/>
        <v>11</v>
      </c>
    </row>
    <row r="57" spans="1:20" s="187" customFormat="1" ht="13.2">
      <c r="A57" s="182"/>
      <c r="B57" s="189" t="s">
        <v>407</v>
      </c>
      <c r="C57" s="184"/>
      <c r="D57" s="190" t="e">
        <f>D53/D56</f>
        <v>#DIV/0!</v>
      </c>
      <c r="E57" s="190">
        <f>E53/E56</f>
        <v>772.80000000000007</v>
      </c>
      <c r="F57" s="190">
        <f t="shared" ref="F57:R57" si="20">F53/F56</f>
        <v>735.89333333333332</v>
      </c>
      <c r="G57" s="190">
        <f t="shared" si="20"/>
        <v>901.48571428571427</v>
      </c>
      <c r="H57" s="190">
        <f t="shared" si="20"/>
        <v>955.19999999999993</v>
      </c>
      <c r="I57" s="190">
        <f t="shared" si="20"/>
        <v>1008</v>
      </c>
      <c r="J57" s="190">
        <f t="shared" si="20"/>
        <v>892.26666666666677</v>
      </c>
      <c r="K57" s="190">
        <f t="shared" si="20"/>
        <v>886.62857142857138</v>
      </c>
      <c r="L57" s="190">
        <f t="shared" si="20"/>
        <v>937.82857142857142</v>
      </c>
      <c r="M57" s="190">
        <f t="shared" si="20"/>
        <v>1056.56</v>
      </c>
      <c r="N57" s="190">
        <f t="shared" si="20"/>
        <v>864.85333333333335</v>
      </c>
      <c r="O57" s="190">
        <f t="shared" si="20"/>
        <v>802.96</v>
      </c>
      <c r="P57" s="190" t="e">
        <f t="shared" si="20"/>
        <v>#DIV/0!</v>
      </c>
      <c r="Q57" s="190" t="e">
        <f t="shared" si="20"/>
        <v>#DIV/0!</v>
      </c>
      <c r="R57" s="190" t="e">
        <f t="shared" si="20"/>
        <v>#DIV/0!</v>
      </c>
      <c r="S57" s="186" t="e">
        <f t="shared" si="19"/>
        <v>#DIV/0!</v>
      </c>
      <c r="T57" s="81">
        <f t="shared" si="15"/>
        <v>11</v>
      </c>
    </row>
    <row r="58" spans="1:20" ht="13.2">
      <c r="A58" s="113">
        <v>1</v>
      </c>
      <c r="B58" s="156" t="s">
        <v>227</v>
      </c>
      <c r="C58" s="157">
        <v>101509952020</v>
      </c>
      <c r="D58" s="158"/>
      <c r="E58" s="158">
        <v>817</v>
      </c>
      <c r="F58" s="158">
        <v>823</v>
      </c>
      <c r="G58" s="159">
        <v>901</v>
      </c>
      <c r="H58" s="158">
        <v>955</v>
      </c>
      <c r="I58" s="158">
        <v>1008</v>
      </c>
      <c r="J58" s="160">
        <v>808</v>
      </c>
      <c r="K58" s="158">
        <v>886</v>
      </c>
      <c r="L58" s="158">
        <v>960</v>
      </c>
      <c r="M58" s="158">
        <v>1051</v>
      </c>
      <c r="N58" s="158">
        <v>918</v>
      </c>
      <c r="O58" s="158">
        <v>803</v>
      </c>
      <c r="P58" s="159"/>
      <c r="Q58" s="158"/>
      <c r="R58" s="161"/>
      <c r="S58" s="158">
        <f t="shared" si="19"/>
        <v>9930</v>
      </c>
      <c r="T58" s="81">
        <f t="shared" si="15"/>
        <v>11</v>
      </c>
    </row>
    <row r="59" spans="1:20" ht="13.2">
      <c r="A59" s="113">
        <v>2</v>
      </c>
      <c r="B59" s="156" t="s">
        <v>415</v>
      </c>
      <c r="C59" s="125">
        <v>101835374035</v>
      </c>
      <c r="D59" s="158"/>
      <c r="E59" s="158"/>
      <c r="F59" s="158"/>
      <c r="G59" s="159"/>
      <c r="H59" s="158"/>
      <c r="I59" s="158"/>
      <c r="J59" s="160"/>
      <c r="K59" s="158"/>
      <c r="L59" s="158"/>
      <c r="M59" s="158"/>
      <c r="N59" s="158"/>
      <c r="O59" s="158"/>
      <c r="P59" s="159"/>
      <c r="Q59" s="158"/>
      <c r="R59" s="161"/>
      <c r="S59" s="158">
        <f t="shared" si="19"/>
        <v>0</v>
      </c>
      <c r="T59" s="81">
        <f t="shared" si="15"/>
        <v>0</v>
      </c>
    </row>
    <row r="60" spans="1:20" ht="13.2">
      <c r="A60" s="113">
        <v>3</v>
      </c>
      <c r="B60" s="156" t="s">
        <v>221</v>
      </c>
      <c r="C60" s="157">
        <v>101522138160</v>
      </c>
      <c r="D60" s="158"/>
      <c r="E60" s="158">
        <v>817</v>
      </c>
      <c r="F60" s="158"/>
      <c r="G60" s="159">
        <v>901</v>
      </c>
      <c r="H60" s="158">
        <v>955</v>
      </c>
      <c r="I60" s="158"/>
      <c r="J60" s="160">
        <v>808</v>
      </c>
      <c r="K60" s="158">
        <v>886</v>
      </c>
      <c r="L60" s="158">
        <v>960</v>
      </c>
      <c r="M60" s="158">
        <v>1051</v>
      </c>
      <c r="N60" s="158">
        <v>918</v>
      </c>
      <c r="O60" s="158">
        <v>803</v>
      </c>
      <c r="P60" s="159"/>
      <c r="Q60" s="158"/>
      <c r="R60" s="161"/>
      <c r="S60" s="158">
        <f t="shared" si="19"/>
        <v>8099</v>
      </c>
      <c r="T60" s="81">
        <f t="shared" si="15"/>
        <v>9</v>
      </c>
    </row>
    <row r="61" spans="1:20" ht="13.2">
      <c r="A61" s="113">
        <v>4</v>
      </c>
      <c r="B61" s="156" t="s">
        <v>188</v>
      </c>
      <c r="C61" s="157">
        <v>102053057886</v>
      </c>
      <c r="D61" s="158"/>
      <c r="E61" s="158"/>
      <c r="F61" s="158"/>
      <c r="G61" s="159"/>
      <c r="H61" s="158"/>
      <c r="I61" s="158"/>
      <c r="J61" s="160">
        <v>808</v>
      </c>
      <c r="K61" s="158"/>
      <c r="L61" s="158"/>
      <c r="M61" s="158"/>
      <c r="N61" s="158"/>
      <c r="O61" s="158"/>
      <c r="P61" s="159"/>
      <c r="Q61" s="158"/>
      <c r="R61" s="161"/>
      <c r="S61" s="158">
        <f t="shared" si="19"/>
        <v>808</v>
      </c>
      <c r="T61" s="81">
        <f t="shared" si="15"/>
        <v>1</v>
      </c>
    </row>
    <row r="62" spans="1:20" ht="13.2">
      <c r="A62" s="113">
        <v>5</v>
      </c>
      <c r="B62" s="156" t="s">
        <v>416</v>
      </c>
      <c r="C62" s="157"/>
      <c r="D62" s="158"/>
      <c r="E62" s="158">
        <v>817</v>
      </c>
      <c r="F62" s="158">
        <v>823</v>
      </c>
      <c r="G62" s="159">
        <v>901</v>
      </c>
      <c r="H62" s="158">
        <v>955</v>
      </c>
      <c r="I62" s="158">
        <v>1008</v>
      </c>
      <c r="J62" s="160">
        <v>808</v>
      </c>
      <c r="K62" s="158">
        <v>886</v>
      </c>
      <c r="L62" s="158">
        <v>960</v>
      </c>
      <c r="M62" s="158">
        <v>566</v>
      </c>
      <c r="N62" s="158">
        <v>918</v>
      </c>
      <c r="O62" s="158">
        <v>803</v>
      </c>
      <c r="P62" s="159"/>
      <c r="Q62" s="158"/>
      <c r="R62" s="161"/>
      <c r="S62" s="158">
        <f t="shared" si="19"/>
        <v>9445</v>
      </c>
      <c r="T62" s="81">
        <f t="shared" si="15"/>
        <v>11</v>
      </c>
    </row>
    <row r="63" spans="1:20" ht="13.2">
      <c r="A63" s="113">
        <v>6</v>
      </c>
      <c r="B63" s="156" t="s">
        <v>433</v>
      </c>
      <c r="C63" s="157"/>
      <c r="D63" s="158"/>
      <c r="E63" s="158"/>
      <c r="F63" s="158">
        <v>823</v>
      </c>
      <c r="G63" s="159">
        <v>901</v>
      </c>
      <c r="H63" s="158">
        <v>955</v>
      </c>
      <c r="I63" s="158"/>
      <c r="J63" s="160">
        <v>808</v>
      </c>
      <c r="K63" s="158">
        <v>886</v>
      </c>
      <c r="L63" s="158"/>
      <c r="M63" s="158">
        <v>1051</v>
      </c>
      <c r="N63" s="158">
        <v>918</v>
      </c>
      <c r="O63" s="158">
        <v>803</v>
      </c>
      <c r="P63" s="159"/>
      <c r="Q63" s="158"/>
      <c r="R63" s="161"/>
      <c r="S63" s="158">
        <f t="shared" si="19"/>
        <v>7145</v>
      </c>
      <c r="T63" s="81">
        <f t="shared" si="15"/>
        <v>8</v>
      </c>
    </row>
    <row r="64" spans="1:20" ht="13.2">
      <c r="A64" s="113">
        <v>7</v>
      </c>
      <c r="B64" s="156" t="s">
        <v>181</v>
      </c>
      <c r="C64" s="157">
        <v>102078951370</v>
      </c>
      <c r="D64" s="158"/>
      <c r="E64" s="158"/>
      <c r="F64" s="158"/>
      <c r="G64" s="159"/>
      <c r="H64" s="158"/>
      <c r="I64" s="158"/>
      <c r="J64" s="160">
        <v>808</v>
      </c>
      <c r="K64" s="158">
        <v>886</v>
      </c>
      <c r="L64" s="158">
        <v>960</v>
      </c>
      <c r="M64" s="158">
        <v>1051</v>
      </c>
      <c r="N64" s="158">
        <v>918</v>
      </c>
      <c r="O64" s="158">
        <v>803</v>
      </c>
      <c r="P64" s="159"/>
      <c r="Q64" s="158"/>
      <c r="R64" s="161"/>
      <c r="S64" s="158">
        <f t="shared" si="19"/>
        <v>5426</v>
      </c>
      <c r="T64" s="81">
        <f t="shared" si="15"/>
        <v>6</v>
      </c>
    </row>
    <row r="65" spans="1:20" ht="13.2">
      <c r="A65" s="113">
        <v>8</v>
      </c>
      <c r="B65" s="156" t="s">
        <v>172</v>
      </c>
      <c r="C65" s="157">
        <v>102143026061</v>
      </c>
      <c r="D65" s="158"/>
      <c r="E65" s="158">
        <v>817</v>
      </c>
      <c r="F65" s="158">
        <v>823</v>
      </c>
      <c r="G65" s="159">
        <v>901</v>
      </c>
      <c r="H65" s="158">
        <v>955</v>
      </c>
      <c r="I65" s="158">
        <v>1008</v>
      </c>
      <c r="J65" s="160"/>
      <c r="K65" s="158"/>
      <c r="L65" s="158"/>
      <c r="M65" s="158"/>
      <c r="N65" s="158"/>
      <c r="O65" s="158"/>
      <c r="P65" s="159"/>
      <c r="Q65" s="158"/>
      <c r="R65" s="161"/>
      <c r="S65" s="158">
        <f t="shared" si="19"/>
        <v>4504</v>
      </c>
      <c r="T65" s="81">
        <f t="shared" si="15"/>
        <v>5</v>
      </c>
    </row>
    <row r="66" spans="1:20" ht="13.2">
      <c r="A66" s="113">
        <v>9</v>
      </c>
      <c r="B66" s="156" t="s">
        <v>417</v>
      </c>
      <c r="C66" s="157"/>
      <c r="D66" s="158"/>
      <c r="E66" s="158"/>
      <c r="F66" s="158">
        <v>300</v>
      </c>
      <c r="G66" s="159"/>
      <c r="H66" s="158"/>
      <c r="I66" s="158"/>
      <c r="J66" s="160"/>
      <c r="K66" s="158">
        <v>886</v>
      </c>
      <c r="L66" s="158">
        <v>960</v>
      </c>
      <c r="M66" s="158"/>
      <c r="N66" s="158">
        <v>918</v>
      </c>
      <c r="O66" s="158">
        <v>803</v>
      </c>
      <c r="P66" s="159"/>
      <c r="Q66" s="158"/>
      <c r="R66" s="161"/>
      <c r="S66" s="158">
        <f t="shared" si="19"/>
        <v>3867</v>
      </c>
      <c r="T66" s="81">
        <f t="shared" si="15"/>
        <v>5</v>
      </c>
    </row>
    <row r="67" spans="1:20" ht="13.2">
      <c r="A67" s="113">
        <v>10</v>
      </c>
      <c r="B67" s="156" t="s">
        <v>232</v>
      </c>
      <c r="C67" s="157">
        <v>101407413648</v>
      </c>
      <c r="D67" s="158"/>
      <c r="E67" s="158"/>
      <c r="F67" s="158">
        <v>823</v>
      </c>
      <c r="G67" s="159"/>
      <c r="H67" s="158"/>
      <c r="I67" s="158"/>
      <c r="J67" s="160"/>
      <c r="K67" s="158"/>
      <c r="L67" s="158"/>
      <c r="M67" s="158"/>
      <c r="N67" s="158"/>
      <c r="O67" s="158"/>
      <c r="P67" s="159"/>
      <c r="Q67" s="158"/>
      <c r="R67" s="161"/>
      <c r="S67" s="158">
        <f t="shared" si="19"/>
        <v>823</v>
      </c>
      <c r="T67" s="194">
        <f>COUNT(D67:R67)+1</f>
        <v>2</v>
      </c>
    </row>
    <row r="68" spans="1:20" ht="13.2">
      <c r="A68" s="113">
        <v>11</v>
      </c>
      <c r="B68" s="156" t="s">
        <v>462</v>
      </c>
      <c r="C68" s="157"/>
      <c r="D68" s="158"/>
      <c r="E68" s="158">
        <v>550</v>
      </c>
      <c r="F68" s="158"/>
      <c r="G68" s="159"/>
      <c r="H68" s="158"/>
      <c r="I68" s="158"/>
      <c r="J68" s="160"/>
      <c r="K68" s="158"/>
      <c r="L68" s="158"/>
      <c r="M68" s="158"/>
      <c r="N68" s="158"/>
      <c r="O68" s="158"/>
      <c r="P68" s="159"/>
      <c r="Q68" s="158"/>
      <c r="R68" s="161"/>
      <c r="S68" s="158">
        <f t="shared" si="19"/>
        <v>550</v>
      </c>
      <c r="T68" s="81">
        <f>COUNT(D68:R68)</f>
        <v>1</v>
      </c>
    </row>
    <row r="69" spans="1:20" ht="13.2">
      <c r="A69" s="113"/>
      <c r="B69" s="156" t="s">
        <v>463</v>
      </c>
      <c r="C69" s="157"/>
      <c r="D69" s="158"/>
      <c r="E69" s="158"/>
      <c r="F69" s="158"/>
      <c r="G69" s="159">
        <v>901</v>
      </c>
      <c r="H69" s="158">
        <v>955</v>
      </c>
      <c r="I69" s="158">
        <v>1008</v>
      </c>
      <c r="J69" s="160"/>
      <c r="K69" s="158"/>
      <c r="L69" s="158"/>
      <c r="M69" s="158">
        <v>1051</v>
      </c>
      <c r="N69" s="158">
        <v>918</v>
      </c>
      <c r="O69" s="158"/>
      <c r="P69" s="159"/>
      <c r="Q69" s="158"/>
      <c r="R69" s="161"/>
      <c r="S69" s="158"/>
    </row>
    <row r="70" spans="1:20" ht="13.2">
      <c r="A70" s="113"/>
      <c r="B70" s="156" t="s">
        <v>464</v>
      </c>
      <c r="C70" s="157"/>
      <c r="D70" s="158"/>
      <c r="E70" s="158"/>
      <c r="F70" s="158"/>
      <c r="G70" s="159">
        <v>901</v>
      </c>
      <c r="H70" s="158">
        <v>955</v>
      </c>
      <c r="I70" s="158">
        <v>1008</v>
      </c>
      <c r="J70" s="160"/>
      <c r="K70" s="158"/>
      <c r="L70" s="158"/>
      <c r="M70" s="158">
        <v>1051</v>
      </c>
      <c r="N70" s="158">
        <v>918</v>
      </c>
      <c r="O70" s="158">
        <v>803</v>
      </c>
      <c r="P70" s="159"/>
      <c r="Q70" s="158"/>
      <c r="R70" s="161"/>
      <c r="S70" s="158"/>
    </row>
    <row r="71" spans="1:20" ht="13.2">
      <c r="A71" s="113"/>
      <c r="B71" s="156" t="s">
        <v>226</v>
      </c>
      <c r="C71" s="157">
        <v>101520450548</v>
      </c>
      <c r="D71" s="158"/>
      <c r="E71" s="158"/>
      <c r="F71" s="158"/>
      <c r="G71" s="159"/>
      <c r="H71" s="158"/>
      <c r="I71" s="158">
        <v>1008</v>
      </c>
      <c r="J71" s="160"/>
      <c r="K71" s="158"/>
      <c r="L71" s="158"/>
      <c r="M71" s="158"/>
      <c r="N71" s="158"/>
      <c r="O71" s="158"/>
      <c r="P71" s="159"/>
      <c r="Q71" s="158"/>
      <c r="R71" s="161"/>
      <c r="S71" s="158"/>
    </row>
    <row r="72" spans="1:20" ht="13.2">
      <c r="A72" s="113"/>
      <c r="B72" s="156" t="s">
        <v>465</v>
      </c>
      <c r="C72" s="157"/>
      <c r="D72" s="158"/>
      <c r="E72" s="158"/>
      <c r="F72" s="158"/>
      <c r="G72" s="159"/>
      <c r="H72" s="158"/>
      <c r="I72" s="158"/>
      <c r="J72" s="160">
        <v>500</v>
      </c>
      <c r="K72" s="158"/>
      <c r="L72" s="158"/>
      <c r="M72" s="158"/>
      <c r="N72" s="158"/>
      <c r="O72" s="158"/>
      <c r="P72" s="159"/>
      <c r="Q72" s="158"/>
      <c r="R72" s="161"/>
      <c r="S72" s="158"/>
    </row>
    <row r="73" spans="1:20" ht="13.2">
      <c r="A73" s="113"/>
      <c r="B73" s="156" t="s">
        <v>466</v>
      </c>
      <c r="C73" s="157"/>
      <c r="D73" s="158"/>
      <c r="E73" s="158"/>
      <c r="F73" s="158"/>
      <c r="G73" s="159"/>
      <c r="H73" s="158"/>
      <c r="I73" s="158"/>
      <c r="J73" s="160"/>
      <c r="K73" s="158">
        <v>886</v>
      </c>
      <c r="L73" s="158">
        <v>960</v>
      </c>
      <c r="M73" s="158">
        <v>1051</v>
      </c>
      <c r="N73" s="158">
        <v>918</v>
      </c>
      <c r="O73" s="158">
        <v>803</v>
      </c>
      <c r="P73" s="159"/>
      <c r="Q73" s="158"/>
      <c r="R73" s="161"/>
      <c r="S73" s="158"/>
    </row>
    <row r="74" spans="1:20" ht="13.2">
      <c r="A74" s="113"/>
      <c r="B74" s="156" t="s">
        <v>467</v>
      </c>
      <c r="C74" s="157"/>
      <c r="D74" s="158"/>
      <c r="E74" s="158"/>
      <c r="F74" s="158"/>
      <c r="G74" s="159"/>
      <c r="H74" s="158"/>
      <c r="I74" s="158"/>
      <c r="J74" s="160"/>
      <c r="K74" s="158"/>
      <c r="L74" s="158">
        <v>801</v>
      </c>
      <c r="M74" s="158"/>
      <c r="N74" s="158"/>
      <c r="O74" s="158"/>
      <c r="P74" s="159"/>
      <c r="Q74" s="158"/>
      <c r="R74" s="161"/>
      <c r="S74" s="158"/>
    </row>
    <row r="75" spans="1:20" ht="13.2">
      <c r="A75" s="113">
        <v>12</v>
      </c>
      <c r="B75" s="156" t="s">
        <v>219</v>
      </c>
      <c r="C75" s="157">
        <v>101747190938</v>
      </c>
      <c r="D75" s="158"/>
      <c r="E75" s="158">
        <v>817</v>
      </c>
      <c r="F75" s="158"/>
      <c r="G75" s="159"/>
      <c r="H75" s="158"/>
      <c r="I75" s="158">
        <v>1008</v>
      </c>
      <c r="J75" s="160"/>
      <c r="K75" s="158"/>
      <c r="L75" s="158"/>
      <c r="M75" s="158">
        <v>1051</v>
      </c>
      <c r="N75" s="158"/>
      <c r="O75" s="158"/>
      <c r="P75" s="159"/>
      <c r="Q75" s="158"/>
      <c r="R75" s="161"/>
      <c r="S75" s="158">
        <f>SUM(D75:R75)</f>
        <v>2876</v>
      </c>
      <c r="T75" s="81">
        <f t="shared" ref="T75:T81" si="21">COUNT(D75:R75)</f>
        <v>3</v>
      </c>
    </row>
    <row r="76" spans="1:20" s="163" customFormat="1" ht="13.2">
      <c r="A76" s="118"/>
      <c r="B76" s="119" t="s">
        <v>366</v>
      </c>
      <c r="C76" s="119"/>
      <c r="D76" s="191">
        <f t="shared" ref="D76:S76" si="22">SUM(D58:D75)</f>
        <v>0</v>
      </c>
      <c r="E76" s="191">
        <f t="shared" si="22"/>
        <v>4635</v>
      </c>
      <c r="F76" s="191">
        <f t="shared" si="22"/>
        <v>4415</v>
      </c>
      <c r="G76" s="191">
        <f t="shared" si="22"/>
        <v>6307</v>
      </c>
      <c r="H76" s="191">
        <f t="shared" si="22"/>
        <v>6685</v>
      </c>
      <c r="I76" s="191">
        <f t="shared" si="22"/>
        <v>7056</v>
      </c>
      <c r="J76" s="191">
        <f t="shared" si="22"/>
        <v>5348</v>
      </c>
      <c r="K76" s="191">
        <f t="shared" si="22"/>
        <v>6202</v>
      </c>
      <c r="L76" s="191">
        <f t="shared" si="22"/>
        <v>6561</v>
      </c>
      <c r="M76" s="191">
        <f t="shared" si="22"/>
        <v>8974</v>
      </c>
      <c r="N76" s="191">
        <f>SUM(N58:N75)</f>
        <v>8262</v>
      </c>
      <c r="O76" s="191">
        <f t="shared" si="22"/>
        <v>6424</v>
      </c>
      <c r="P76" s="191">
        <f t="shared" si="22"/>
        <v>0</v>
      </c>
      <c r="Q76" s="191">
        <f t="shared" si="22"/>
        <v>0</v>
      </c>
      <c r="R76" s="191">
        <f t="shared" si="22"/>
        <v>0</v>
      </c>
      <c r="S76" s="191">
        <f t="shared" si="22"/>
        <v>53473</v>
      </c>
      <c r="T76" s="81">
        <f t="shared" si="21"/>
        <v>15</v>
      </c>
    </row>
    <row r="77" spans="1:20" ht="13.2">
      <c r="A77" s="113"/>
      <c r="B77" s="192"/>
      <c r="C77" s="192"/>
      <c r="D77" s="161">
        <f t="shared" ref="D77:R77" si="23">D76-D53</f>
        <v>0</v>
      </c>
      <c r="E77" s="161">
        <f t="shared" si="23"/>
        <v>-1.8000000000001819</v>
      </c>
      <c r="F77" s="161">
        <f t="shared" si="23"/>
        <v>-0.35999999999967258</v>
      </c>
      <c r="G77" s="161">
        <f t="shared" si="23"/>
        <v>-3.3999999999996362</v>
      </c>
      <c r="H77" s="161">
        <f t="shared" si="23"/>
        <v>-1.3999999999996362</v>
      </c>
      <c r="I77" s="161">
        <f t="shared" si="23"/>
        <v>0</v>
      </c>
      <c r="J77" s="161">
        <f t="shared" si="23"/>
        <v>-5.6000000000003638</v>
      </c>
      <c r="K77" s="161">
        <f t="shared" si="23"/>
        <v>-4.3999999999996362</v>
      </c>
      <c r="L77" s="161">
        <f t="shared" si="23"/>
        <v>-3.8000000000001819</v>
      </c>
      <c r="M77" s="161">
        <f t="shared" si="23"/>
        <v>521.52000000000044</v>
      </c>
      <c r="N77" s="161">
        <f t="shared" si="23"/>
        <v>478.31999999999971</v>
      </c>
      <c r="O77" s="161">
        <f t="shared" si="23"/>
        <v>0.31999999999970896</v>
      </c>
      <c r="P77" s="161">
        <f t="shared" si="23"/>
        <v>0</v>
      </c>
      <c r="Q77" s="161">
        <f t="shared" si="23"/>
        <v>0</v>
      </c>
      <c r="R77" s="161">
        <f t="shared" si="23"/>
        <v>0</v>
      </c>
      <c r="S77" s="158">
        <f>SUM(D77:R77)</f>
        <v>979.40000000000055</v>
      </c>
      <c r="T77" s="81">
        <f t="shared" si="21"/>
        <v>15</v>
      </c>
    </row>
    <row r="78" spans="1:20" ht="13.2">
      <c r="A78" s="113"/>
      <c r="B78" s="193" t="s">
        <v>434</v>
      </c>
      <c r="C78" s="193"/>
      <c r="D78" s="158">
        <f t="shared" ref="D78:S78" si="24">D18+D31</f>
        <v>0</v>
      </c>
      <c r="E78" s="158">
        <f t="shared" si="24"/>
        <v>6150</v>
      </c>
      <c r="F78" s="158">
        <f t="shared" si="24"/>
        <v>8144</v>
      </c>
      <c r="G78" s="158">
        <f t="shared" si="24"/>
        <v>9005</v>
      </c>
      <c r="H78" s="158">
        <f t="shared" si="24"/>
        <v>9080</v>
      </c>
      <c r="I78" s="158">
        <f t="shared" si="24"/>
        <v>0</v>
      </c>
      <c r="J78" s="158">
        <f t="shared" si="24"/>
        <v>12572</v>
      </c>
      <c r="K78" s="158">
        <f t="shared" si="24"/>
        <v>9457</v>
      </c>
      <c r="L78" s="158">
        <f t="shared" si="24"/>
        <v>10842</v>
      </c>
      <c r="M78" s="158">
        <f t="shared" si="24"/>
        <v>10655</v>
      </c>
      <c r="N78" s="158">
        <f t="shared" si="24"/>
        <v>10545</v>
      </c>
      <c r="O78" s="158">
        <f t="shared" si="24"/>
        <v>5145</v>
      </c>
      <c r="P78" s="158">
        <f t="shared" si="24"/>
        <v>0</v>
      </c>
      <c r="Q78" s="158">
        <f t="shared" si="24"/>
        <v>5720</v>
      </c>
      <c r="R78" s="158">
        <f t="shared" si="24"/>
        <v>5352</v>
      </c>
      <c r="S78" s="158">
        <f t="shared" si="24"/>
        <v>102667</v>
      </c>
      <c r="T78" s="81">
        <f t="shared" si="21"/>
        <v>15</v>
      </c>
    </row>
    <row r="79" spans="1:20" ht="13.2">
      <c r="A79" s="113"/>
      <c r="B79" s="193" t="s">
        <v>435</v>
      </c>
      <c r="C79" s="193"/>
      <c r="D79" s="158">
        <f t="shared" ref="D79:R79" si="25">D4+D21</f>
        <v>0</v>
      </c>
      <c r="E79" s="158">
        <f t="shared" si="25"/>
        <v>28.106999999999999</v>
      </c>
      <c r="F79" s="158">
        <f t="shared" si="25"/>
        <v>24.524000000000001</v>
      </c>
      <c r="G79" s="158">
        <f t="shared" si="25"/>
        <v>40.94</v>
      </c>
      <c r="H79" s="158">
        <f t="shared" si="25"/>
        <v>41.290999999999997</v>
      </c>
      <c r="I79" s="158">
        <f t="shared" si="25"/>
        <v>0</v>
      </c>
      <c r="J79" s="158">
        <f t="shared" si="25"/>
        <v>57.179999999999993</v>
      </c>
      <c r="K79" s="158">
        <f t="shared" si="25"/>
        <v>42.866</v>
      </c>
      <c r="L79" s="158">
        <f t="shared" si="25"/>
        <v>49.320999999999998</v>
      </c>
      <c r="M79" s="158">
        <f t="shared" si="25"/>
        <v>48.447000000000003</v>
      </c>
      <c r="N79" s="158">
        <f t="shared" si="25"/>
        <v>47.951000000000001</v>
      </c>
      <c r="O79" s="158">
        <f t="shared" si="25"/>
        <v>23.388000000000002</v>
      </c>
      <c r="P79" s="158">
        <f t="shared" si="25"/>
        <v>0</v>
      </c>
      <c r="Q79" s="158">
        <f t="shared" si="25"/>
        <v>26</v>
      </c>
      <c r="R79" s="158">
        <f t="shared" si="25"/>
        <v>24.341000000000001</v>
      </c>
      <c r="S79" s="158">
        <f>S4+S21</f>
        <v>454.35599999999999</v>
      </c>
      <c r="T79" s="81">
        <f t="shared" si="21"/>
        <v>15</v>
      </c>
    </row>
    <row r="80" spans="1:20" ht="13.2">
      <c r="A80" s="113"/>
      <c r="B80" s="193" t="s">
        <v>436</v>
      </c>
      <c r="C80" s="193"/>
      <c r="D80" s="158">
        <f t="shared" ref="D80:S80" si="26">D76+D51</f>
        <v>0</v>
      </c>
      <c r="E80" s="158">
        <f t="shared" si="26"/>
        <v>7640</v>
      </c>
      <c r="F80" s="158">
        <f t="shared" si="26"/>
        <v>11817</v>
      </c>
      <c r="G80" s="158">
        <f t="shared" si="26"/>
        <v>12672</v>
      </c>
      <c r="H80" s="158">
        <f t="shared" si="26"/>
        <v>13925</v>
      </c>
      <c r="I80" s="158">
        <f t="shared" si="26"/>
        <v>7056</v>
      </c>
      <c r="J80" s="158">
        <f t="shared" si="26"/>
        <v>9814</v>
      </c>
      <c r="K80" s="158">
        <f t="shared" si="26"/>
        <v>14465</v>
      </c>
      <c r="L80" s="158">
        <f t="shared" si="26"/>
        <v>14096</v>
      </c>
      <c r="M80" s="158">
        <f t="shared" si="26"/>
        <v>15630</v>
      </c>
      <c r="N80" s="158">
        <f t="shared" si="26"/>
        <v>13990</v>
      </c>
      <c r="O80" s="158">
        <f t="shared" si="26"/>
        <v>11400</v>
      </c>
      <c r="P80" s="158">
        <f t="shared" si="26"/>
        <v>0</v>
      </c>
      <c r="Q80" s="158">
        <f t="shared" si="26"/>
        <v>7636</v>
      </c>
      <c r="R80" s="158">
        <f t="shared" si="26"/>
        <v>7882</v>
      </c>
      <c r="S80" s="158">
        <f t="shared" si="26"/>
        <v>104691</v>
      </c>
      <c r="T80" s="81">
        <f t="shared" si="21"/>
        <v>15</v>
      </c>
    </row>
    <row r="81" spans="1:20" ht="13.2">
      <c r="A81" s="113"/>
      <c r="B81" s="193" t="s">
        <v>437</v>
      </c>
      <c r="C81" s="193"/>
      <c r="D81" s="158">
        <f t="shared" ref="D81:S81" si="27">D54+D34</f>
        <v>0</v>
      </c>
      <c r="E81" s="158">
        <f t="shared" si="27"/>
        <v>23.887999999999998</v>
      </c>
      <c r="F81" s="158">
        <f t="shared" si="27"/>
        <v>36.944000000000003</v>
      </c>
      <c r="G81" s="158">
        <f t="shared" si="27"/>
        <v>39.620999999999995</v>
      </c>
      <c r="H81" s="158">
        <f t="shared" si="27"/>
        <v>43.54</v>
      </c>
      <c r="I81" s="158">
        <f t="shared" si="27"/>
        <v>22.05</v>
      </c>
      <c r="J81" s="158">
        <f t="shared" si="27"/>
        <v>30.692</v>
      </c>
      <c r="K81" s="158">
        <f t="shared" si="27"/>
        <v>43.704999999999998</v>
      </c>
      <c r="L81" s="158">
        <f t="shared" si="27"/>
        <v>44.064999999999998</v>
      </c>
      <c r="M81" s="158">
        <f t="shared" si="27"/>
        <v>47.234000000000002</v>
      </c>
      <c r="N81" s="158">
        <f t="shared" si="27"/>
        <v>42.22</v>
      </c>
      <c r="O81" s="158">
        <f t="shared" si="27"/>
        <v>35.635000000000005</v>
      </c>
      <c r="P81" s="158">
        <f t="shared" si="27"/>
        <v>0</v>
      </c>
      <c r="Q81" s="158">
        <f t="shared" si="27"/>
        <v>22.47</v>
      </c>
      <c r="R81" s="158">
        <f t="shared" si="27"/>
        <v>23.189</v>
      </c>
      <c r="S81" s="158">
        <f t="shared" si="27"/>
        <v>455.25300000000004</v>
      </c>
      <c r="T81" s="81">
        <f t="shared" si="21"/>
        <v>15</v>
      </c>
    </row>
    <row r="82" spans="1:20" ht="13.2"/>
    <row r="83" spans="1:20" ht="13.2"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</row>
    <row r="84" spans="1:20" ht="13.2"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</row>
    <row r="85" spans="1:20" ht="13.2"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</row>
    <row r="86" spans="1:20" ht="13.2"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</row>
    <row r="87" spans="1:20" ht="13.2"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</row>
    <row r="88" spans="1:20" ht="13.2"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</row>
    <row r="89" spans="1:20" ht="13.2"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</row>
    <row r="90" spans="1:20" ht="13.2"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</row>
    <row r="91" spans="1:20" ht="13.2"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</row>
    <row r="92" spans="1:20" ht="13.2"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</row>
    <row r="93" spans="1:20" ht="13.2"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</row>
    <row r="94" spans="1:20" ht="13.2"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</row>
    <row r="95" spans="1:20" ht="13.2"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</row>
    <row r="96" spans="1:20" ht="13.2"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</row>
    <row r="97" s="81" customFormat="1" ht="13.2"/>
    <row r="98" s="81" customFormat="1" ht="13.2"/>
    <row r="99" s="81" customFormat="1" ht="13.2"/>
    <row r="100" s="81" customFormat="1" ht="13.2"/>
    <row r="101" s="81" customFormat="1" ht="13.2"/>
    <row r="102" s="81" customFormat="1" ht="13.2"/>
    <row r="103" s="81" customFormat="1" ht="13.2"/>
    <row r="104" s="81" customFormat="1" ht="13.2"/>
    <row r="105" s="81" customFormat="1" ht="13.2"/>
    <row r="106" s="81" customFormat="1" ht="13.2"/>
    <row r="107" s="81" customFormat="1" ht="13.2"/>
    <row r="108" s="81" customFormat="1" ht="13.2"/>
    <row r="109" s="81" customFormat="1" ht="13.2"/>
    <row r="110" s="81" customFormat="1" ht="13.2"/>
    <row r="111" s="81" customFormat="1" ht="13.2"/>
    <row r="112" s="81" customFormat="1" ht="13.2"/>
    <row r="113" s="81" customFormat="1" ht="13.2"/>
    <row r="114" s="81" customFormat="1" ht="13.2"/>
    <row r="115" s="81" customFormat="1" ht="13.2"/>
    <row r="116" s="81" customFormat="1" ht="13.2"/>
    <row r="117" s="81" customFormat="1" ht="13.2"/>
    <row r="118" s="81" customFormat="1" ht="13.2"/>
    <row r="119" s="81" customFormat="1" ht="13.2"/>
    <row r="120" s="81" customFormat="1" ht="13.2"/>
    <row r="121" s="81" customFormat="1" ht="13.2"/>
    <row r="122" s="81" customFormat="1" ht="13.2"/>
    <row r="123" s="81" customFormat="1" ht="13.2"/>
    <row r="124" s="81" customFormat="1" ht="13.2"/>
    <row r="125" s="81" customFormat="1" ht="13.2"/>
    <row r="126" s="81" customFormat="1" ht="13.2"/>
    <row r="127" s="81" customFormat="1" ht="13.2"/>
    <row r="128" s="81" customFormat="1" ht="13.2"/>
    <row r="129" s="81" customFormat="1" ht="13.2"/>
    <row r="130" s="81" customFormat="1" ht="13.2"/>
    <row r="131" s="81" customFormat="1" ht="13.2"/>
    <row r="132" s="81" customFormat="1" ht="13.2"/>
    <row r="133" s="81" customFormat="1" ht="13.2"/>
    <row r="134" s="81" customFormat="1" ht="13.2"/>
    <row r="135" s="81" customFormat="1" ht="13.2"/>
    <row r="136" s="81" customFormat="1" ht="13.2"/>
    <row r="137" s="81" customFormat="1" ht="13.2"/>
    <row r="138" s="81" customFormat="1" ht="13.2"/>
    <row r="139" s="81" customFormat="1" ht="13.2"/>
    <row r="140" s="81" customFormat="1" ht="13.2"/>
    <row r="141" s="81" customFormat="1" ht="13.2"/>
    <row r="142" s="81" customFormat="1" ht="13.2"/>
    <row r="143" s="81" customFormat="1" ht="13.2"/>
    <row r="144" s="81" customFormat="1" ht="13.2"/>
    <row r="145" s="81" customFormat="1" ht="13.2"/>
    <row r="146" s="81" customFormat="1" ht="13.2"/>
    <row r="147" s="81" customFormat="1" ht="13.2"/>
    <row r="148" s="81" customFormat="1" ht="13.2"/>
    <row r="149" s="81" customFormat="1" ht="13.2"/>
    <row r="150" s="81" customFormat="1" ht="13.2"/>
    <row r="151" s="81" customFormat="1" ht="13.2"/>
    <row r="152" s="81" customFormat="1" ht="13.2"/>
    <row r="153" s="81" customFormat="1" ht="13.2"/>
    <row r="154" s="81" customFormat="1" ht="13.2"/>
    <row r="155" s="81" customFormat="1" ht="13.2"/>
    <row r="156" s="81" customFormat="1" ht="13.2"/>
    <row r="157" s="81" customFormat="1" ht="13.2"/>
    <row r="158" s="81" customFormat="1" ht="13.2"/>
    <row r="159" s="81" customFormat="1" ht="13.2"/>
    <row r="160" s="81" customFormat="1" ht="13.2"/>
    <row r="161" s="81" customFormat="1" ht="13.2"/>
    <row r="162" s="81" customFormat="1" ht="13.2"/>
    <row r="163" s="81" customFormat="1" ht="13.2"/>
    <row r="164" s="81" customFormat="1" ht="13.2"/>
    <row r="165" s="81" customFormat="1" ht="13.2"/>
    <row r="166" s="81" customFormat="1" ht="13.2"/>
    <row r="167" s="81" customFormat="1" ht="13.2"/>
    <row r="168" s="81" customFormat="1" ht="13.2"/>
    <row r="169" s="81" customFormat="1" ht="13.2"/>
    <row r="170" s="81" customFormat="1" ht="13.2"/>
    <row r="171" s="81" customFormat="1" ht="13.2"/>
    <row r="172" s="81" customFormat="1" ht="13.2"/>
    <row r="173" s="81" customFormat="1" ht="13.2"/>
    <row r="174" s="81" customFormat="1" ht="13.2"/>
    <row r="175" s="81" customFormat="1" ht="13.2"/>
    <row r="176" s="81" customFormat="1" ht="13.2"/>
    <row r="177" s="81" customFormat="1" ht="13.2"/>
    <row r="178" s="81" customFormat="1" ht="13.2"/>
    <row r="179" s="81" customFormat="1" ht="13.2"/>
    <row r="180" s="81" customFormat="1" ht="13.2"/>
    <row r="181" s="81" customFormat="1" ht="13.2"/>
    <row r="182" s="81" customFormat="1" ht="13.2"/>
    <row r="183" s="81" customFormat="1" ht="13.2"/>
    <row r="184" s="81" customFormat="1" ht="13.2"/>
    <row r="185" s="81" customFormat="1" ht="13.2"/>
    <row r="186" s="81" customFormat="1" ht="13.2"/>
    <row r="187" s="81" customFormat="1" ht="13.2"/>
    <row r="188" s="81" customFormat="1" ht="13.2"/>
    <row r="189" s="81" customFormat="1" ht="13.2"/>
    <row r="190" s="81" customFormat="1" ht="13.2"/>
    <row r="191" s="81" customFormat="1" ht="13.2"/>
    <row r="192" s="81" customFormat="1" ht="13.2"/>
    <row r="193" s="81" customFormat="1" ht="13.2"/>
    <row r="194" s="81" customFormat="1" ht="13.2"/>
    <row r="195" s="81" customFormat="1" ht="13.2"/>
    <row r="196" s="81" customFormat="1" ht="13.2"/>
    <row r="197" s="81" customFormat="1" ht="13.2"/>
    <row r="198" s="81" customFormat="1" ht="13.2"/>
    <row r="199" s="81" customFormat="1" ht="13.2"/>
    <row r="200" s="81" customFormat="1" ht="13.2"/>
    <row r="201" s="81" customFormat="1" ht="13.2"/>
    <row r="202" s="81" customFormat="1" ht="13.2"/>
    <row r="203" s="81" customFormat="1" ht="13.2"/>
    <row r="204" s="81" customFormat="1" ht="13.2"/>
    <row r="205" s="81" customFormat="1" ht="13.2"/>
    <row r="206" s="81" customFormat="1" ht="13.2"/>
    <row r="207" s="81" customFormat="1" ht="13.2"/>
    <row r="208" s="81" customFormat="1" ht="13.2"/>
    <row r="209" s="81" customFormat="1" ht="13.2"/>
    <row r="210" s="81" customFormat="1" ht="13.2"/>
    <row r="211" s="81" customFormat="1" ht="13.2"/>
    <row r="212" s="81" customFormat="1" ht="13.2"/>
    <row r="213" s="81" customFormat="1" ht="13.2"/>
    <row r="214" s="81" customFormat="1" ht="13.2"/>
    <row r="215" s="81" customFormat="1" ht="13.2"/>
    <row r="216" s="81" customFormat="1" ht="13.2"/>
    <row r="217" s="81" customFormat="1" ht="13.2"/>
    <row r="218" s="81" customFormat="1" ht="13.2"/>
    <row r="219" s="81" customFormat="1" ht="13.2"/>
    <row r="220" s="81" customFormat="1" ht="13.2"/>
    <row r="221" s="81" customFormat="1" ht="13.2"/>
    <row r="222" s="81" customFormat="1" ht="13.2"/>
    <row r="223" s="81" customFormat="1" ht="13.2"/>
    <row r="224" s="81" customFormat="1" ht="13.2"/>
    <row r="225" s="81" customFormat="1" ht="13.2"/>
    <row r="226" s="81" customFormat="1" ht="13.2"/>
    <row r="227" s="81" customFormat="1" ht="13.2"/>
    <row r="228" s="81" customFormat="1" ht="13.2"/>
    <row r="229" s="81" customFormat="1" ht="13.2"/>
    <row r="230" s="81" customFormat="1" ht="13.2"/>
    <row r="231" s="81" customFormat="1" ht="13.2"/>
    <row r="232" s="81" customFormat="1" ht="13.2"/>
    <row r="233" s="81" customFormat="1" ht="13.2"/>
    <row r="234" s="81" customFormat="1" ht="13.2"/>
    <row r="235" s="81" customFormat="1" ht="13.2"/>
    <row r="236" s="81" customFormat="1" ht="13.2"/>
    <row r="237" s="81" customFormat="1" ht="13.2"/>
    <row r="238" s="81" customFormat="1" ht="13.2"/>
    <row r="239" s="81" customFormat="1" ht="13.2"/>
    <row r="240" s="81" customFormat="1" ht="13.2"/>
    <row r="241" s="81" customFormat="1" ht="13.2"/>
    <row r="242" s="81" customFormat="1" ht="13.2"/>
    <row r="243" s="81" customFormat="1" ht="13.2"/>
    <row r="244" s="81" customFormat="1" ht="13.2"/>
    <row r="245" s="81" customFormat="1" ht="13.2"/>
    <row r="246" s="81" customFormat="1" ht="13.2"/>
    <row r="247" s="81" customFormat="1" ht="13.2"/>
    <row r="248" s="81" customFormat="1" ht="13.2"/>
    <row r="249" s="81" customFormat="1" ht="13.2"/>
    <row r="250" s="81" customFormat="1" ht="13.2"/>
    <row r="251" s="81" customFormat="1" ht="13.2"/>
    <row r="252" s="81" customFormat="1" ht="13.2"/>
    <row r="253" s="81" customFormat="1" ht="13.2"/>
    <row r="254" s="81" customFormat="1" ht="13.2"/>
    <row r="255" s="81" customFormat="1" ht="13.2"/>
    <row r="256" s="81" customFormat="1" ht="13.2"/>
    <row r="257" s="81" customFormat="1" ht="13.2"/>
    <row r="258" s="81" customFormat="1" ht="13.2"/>
    <row r="259" s="81" customFormat="1" ht="13.2"/>
    <row r="260" s="81" customFormat="1" ht="13.2"/>
    <row r="261" s="81" customFormat="1" ht="13.2"/>
    <row r="262" s="81" customFormat="1" ht="13.2"/>
    <row r="263" s="81" customFormat="1" ht="13.2"/>
    <row r="264" s="81" customFormat="1" ht="13.2"/>
    <row r="265" s="81" customFormat="1" ht="13.2"/>
    <row r="266" s="81" customFormat="1" ht="13.2"/>
    <row r="267" s="81" customFormat="1" ht="13.2"/>
    <row r="268" s="81" customFormat="1" ht="13.2"/>
    <row r="269" s="81" customFormat="1" ht="13.2"/>
    <row r="270" s="81" customFormat="1" ht="13.2"/>
    <row r="271" s="81" customFormat="1" ht="13.2"/>
    <row r="272" s="81" customFormat="1" ht="13.2"/>
    <row r="273" s="81" customFormat="1" ht="13.2"/>
    <row r="274" s="81" customFormat="1" ht="13.2"/>
    <row r="275" s="81" customFormat="1" ht="13.2"/>
    <row r="276" s="81" customFormat="1" ht="13.2"/>
    <row r="277" s="81" customFormat="1" ht="13.2"/>
    <row r="278" s="81" customFormat="1" ht="13.2"/>
    <row r="279" s="81" customFormat="1" ht="13.2"/>
    <row r="280" s="81" customFormat="1" ht="13.2"/>
    <row r="281" s="81" customFormat="1" ht="13.2"/>
    <row r="282" s="81" customFormat="1" ht="13.2"/>
    <row r="283" s="81" customFormat="1" ht="13.2"/>
    <row r="284" s="81" customFormat="1" ht="13.2"/>
    <row r="285" s="81" customFormat="1" ht="13.2"/>
    <row r="286" s="81" customFormat="1" ht="13.2"/>
    <row r="287" s="81" customFormat="1" ht="13.2"/>
    <row r="288" s="81" customFormat="1" ht="13.2"/>
    <row r="289" s="81" customFormat="1" ht="13.2"/>
    <row r="290" s="81" customFormat="1" ht="13.2"/>
    <row r="291" s="81" customFormat="1" ht="13.2"/>
    <row r="292" s="81" customFormat="1" ht="13.2"/>
    <row r="293" s="81" customFormat="1" ht="13.2"/>
    <row r="294" s="81" customFormat="1" ht="13.2"/>
    <row r="295" s="81" customFormat="1" ht="13.2"/>
    <row r="296" s="81" customFormat="1" ht="13.2"/>
    <row r="297" s="81" customFormat="1" ht="13.2"/>
    <row r="298" s="81" customFormat="1" ht="13.2"/>
    <row r="299" s="81" customFormat="1" ht="13.2"/>
    <row r="300" s="81" customFormat="1" ht="13.2"/>
    <row r="301" s="81" customFormat="1" ht="13.2"/>
    <row r="302" s="81" customFormat="1" ht="13.2"/>
    <row r="303" s="81" customFormat="1" ht="13.2"/>
    <row r="304" s="81" customFormat="1" ht="13.2"/>
    <row r="305" s="81" customFormat="1" ht="13.2"/>
    <row r="306" s="81" customFormat="1" ht="13.2"/>
    <row r="307" s="81" customFormat="1" ht="13.2"/>
    <row r="308" s="81" customFormat="1" ht="13.2"/>
    <row r="309" s="81" customFormat="1" ht="13.2"/>
    <row r="310" s="81" customFormat="1" ht="13.2"/>
    <row r="311" s="81" customFormat="1" ht="13.2"/>
    <row r="312" s="81" customFormat="1" ht="13.2"/>
    <row r="313" s="81" customFormat="1" ht="13.2"/>
    <row r="314" s="81" customFormat="1" ht="13.2"/>
    <row r="315" s="81" customFormat="1" ht="13.2"/>
    <row r="316" s="81" customFormat="1" ht="13.2"/>
    <row r="317" s="81" customFormat="1" ht="13.2"/>
    <row r="318" s="81" customFormat="1" ht="13.2"/>
    <row r="319" s="81" customFormat="1" ht="13.2"/>
    <row r="320" s="81" customFormat="1" ht="13.2"/>
    <row r="321" s="81" customFormat="1" ht="13.2"/>
    <row r="322" s="81" customFormat="1" ht="13.2"/>
    <row r="323" s="81" customFormat="1" ht="13.2"/>
    <row r="324" s="81" customFormat="1" ht="13.2"/>
    <row r="325" s="81" customFormat="1" ht="13.2"/>
    <row r="326" s="81" customFormat="1" ht="13.2"/>
    <row r="327" s="81" customFormat="1" ht="13.2"/>
    <row r="328" s="81" customFormat="1" ht="13.2"/>
    <row r="329" s="81" customFormat="1" ht="13.2"/>
    <row r="330" s="81" customFormat="1" ht="13.2"/>
    <row r="331" s="81" customFormat="1" ht="13.2"/>
    <row r="332" s="81" customFormat="1" ht="13.2"/>
    <row r="333" s="81" customFormat="1" ht="13.2"/>
    <row r="334" s="81" customFormat="1" ht="13.2"/>
    <row r="335" s="81" customFormat="1" ht="13.2"/>
    <row r="336" s="81" customFormat="1" ht="13.2"/>
    <row r="337" s="81" customFormat="1" ht="13.2"/>
    <row r="338" s="81" customFormat="1" ht="13.2"/>
    <row r="339" s="81" customFormat="1" ht="13.2"/>
    <row r="340" s="81" customFormat="1" ht="13.2"/>
    <row r="341" s="81" customFormat="1" ht="13.2"/>
    <row r="342" s="81" customFormat="1" ht="13.2"/>
    <row r="343" s="81" customFormat="1" ht="13.2"/>
    <row r="344" s="81" customFormat="1" ht="13.2"/>
    <row r="345" s="81" customFormat="1" ht="13.2"/>
    <row r="346" s="81" customFormat="1" ht="13.2"/>
    <row r="347" s="81" customFormat="1" ht="13.2"/>
    <row r="348" s="81" customFormat="1" ht="13.2"/>
    <row r="349" s="81" customFormat="1" ht="13.2"/>
    <row r="350" s="81" customFormat="1" ht="13.2"/>
    <row r="351" s="81" customFormat="1" ht="13.2"/>
    <row r="352" s="81" customFormat="1" ht="13.2"/>
    <row r="353" s="81" customFormat="1" ht="13.2"/>
    <row r="354" s="81" customFormat="1" ht="13.2"/>
    <row r="355" s="81" customFormat="1" ht="13.2"/>
    <row r="356" s="81" customFormat="1" ht="13.2"/>
    <row r="357" s="81" customFormat="1" ht="13.2"/>
    <row r="358" s="81" customFormat="1" ht="13.2"/>
    <row r="359" s="81" customFormat="1" ht="13.2"/>
    <row r="360" s="81" customFormat="1" ht="13.2"/>
    <row r="361" s="81" customFormat="1" ht="13.2"/>
    <row r="362" s="81" customFormat="1" ht="13.2"/>
    <row r="363" s="81" customFormat="1" ht="13.2"/>
    <row r="364" s="81" customFormat="1" ht="13.2"/>
    <row r="365" s="81" customFormat="1" ht="13.2"/>
    <row r="366" s="81" customFormat="1" ht="13.2"/>
    <row r="367" s="81" customFormat="1" ht="13.2"/>
    <row r="368" s="81" customFormat="1" ht="13.2"/>
    <row r="369" s="81" customFormat="1" ht="13.2"/>
    <row r="370" s="81" customFormat="1" ht="13.2"/>
    <row r="371" s="81" customFormat="1" ht="13.2"/>
    <row r="372" s="81" customFormat="1" ht="13.2"/>
    <row r="373" s="81" customFormat="1" ht="13.2"/>
    <row r="374" s="81" customFormat="1" ht="13.2"/>
    <row r="375" s="81" customFormat="1" ht="13.2"/>
    <row r="376" s="81" customFormat="1" ht="13.2"/>
    <row r="377" s="81" customFormat="1" ht="13.2"/>
    <row r="378" s="81" customFormat="1" ht="13.2"/>
    <row r="379" s="81" customFormat="1" ht="13.2"/>
    <row r="380" s="81" customFormat="1" ht="13.2"/>
    <row r="381" s="81" customFormat="1" ht="13.2"/>
    <row r="382" s="81" customFormat="1" ht="13.2"/>
    <row r="383" s="81" customFormat="1" ht="13.2"/>
    <row r="384" s="81" customFormat="1" ht="13.2"/>
    <row r="385" s="81" customFormat="1" ht="13.2"/>
    <row r="386" s="81" customFormat="1" ht="13.2"/>
    <row r="387" s="81" customFormat="1" ht="13.2"/>
    <row r="388" s="81" customFormat="1" ht="13.2"/>
    <row r="389" s="81" customFormat="1" ht="13.2"/>
    <row r="390" s="81" customFormat="1" ht="13.2"/>
    <row r="391" s="81" customFormat="1" ht="13.2"/>
    <row r="392" s="81" customFormat="1" ht="13.2"/>
    <row r="393" s="81" customFormat="1" ht="13.2"/>
    <row r="394" s="81" customFormat="1" ht="13.2"/>
    <row r="395" s="81" customFormat="1" ht="13.2"/>
    <row r="396" s="81" customFormat="1" ht="13.2"/>
    <row r="397" s="81" customFormat="1" ht="13.2"/>
    <row r="398" s="81" customFormat="1" ht="13.2"/>
    <row r="399" s="81" customFormat="1" ht="13.2"/>
    <row r="400" s="81" customFormat="1" ht="13.2"/>
    <row r="401" s="81" customFormat="1" ht="13.2"/>
    <row r="402" s="81" customFormat="1" ht="13.2"/>
    <row r="403" s="81" customFormat="1" ht="13.2"/>
    <row r="404" s="81" customFormat="1" ht="13.2"/>
    <row r="405" s="81" customFormat="1" ht="13.2"/>
    <row r="406" s="81" customFormat="1" ht="13.2"/>
    <row r="407" s="81" customFormat="1" ht="13.2"/>
    <row r="408" s="81" customFormat="1" ht="13.2"/>
    <row r="409" s="81" customFormat="1" ht="13.2"/>
    <row r="410" s="81" customFormat="1" ht="13.2"/>
    <row r="411" s="81" customFormat="1" ht="13.2"/>
    <row r="412" s="81" customFormat="1" ht="13.2"/>
    <row r="413" s="81" customFormat="1" ht="13.2"/>
    <row r="414" s="81" customFormat="1" ht="13.2"/>
    <row r="415" s="81" customFormat="1" ht="13.2"/>
    <row r="416" s="81" customFormat="1" ht="13.2"/>
    <row r="417" s="81" customFormat="1" ht="13.2"/>
    <row r="418" s="81" customFormat="1" ht="13.2"/>
    <row r="419" s="81" customFormat="1" ht="13.2"/>
    <row r="420" s="81" customFormat="1" ht="13.2"/>
    <row r="421" s="81" customFormat="1" ht="13.2"/>
    <row r="422" s="81" customFormat="1" ht="13.2"/>
    <row r="423" s="81" customFormat="1" ht="13.2"/>
    <row r="424" s="81" customFormat="1" ht="13.2"/>
    <row r="425" s="81" customFormat="1" ht="13.2"/>
    <row r="426" s="81" customFormat="1" ht="13.2"/>
    <row r="427" s="81" customFormat="1" ht="13.2"/>
    <row r="428" s="81" customFormat="1" ht="13.2"/>
    <row r="429" s="81" customFormat="1" ht="13.2"/>
    <row r="430" s="81" customFormat="1" ht="13.2"/>
    <row r="431" s="81" customFormat="1" ht="13.2"/>
    <row r="432" s="81" customFormat="1" ht="13.2"/>
    <row r="433" s="81" customFormat="1" ht="13.2"/>
    <row r="434" s="81" customFormat="1" ht="13.2"/>
    <row r="435" s="81" customFormat="1" ht="13.2"/>
    <row r="436" s="81" customFormat="1" ht="13.2"/>
    <row r="437" s="81" customFormat="1" ht="13.2"/>
    <row r="438" s="81" customFormat="1" ht="13.2"/>
    <row r="439" s="81" customFormat="1" ht="13.2"/>
    <row r="440" s="81" customFormat="1" ht="13.2"/>
    <row r="441" s="81" customFormat="1" ht="13.2"/>
    <row r="442" s="81" customFormat="1" ht="13.2"/>
    <row r="443" s="81" customFormat="1" ht="13.2"/>
    <row r="444" s="81" customFormat="1" ht="13.2"/>
    <row r="445" s="81" customFormat="1" ht="13.2"/>
    <row r="446" s="81" customFormat="1" ht="13.2"/>
    <row r="447" s="81" customFormat="1" ht="13.2"/>
    <row r="448" s="81" customFormat="1" ht="13.2"/>
    <row r="449" s="81" customFormat="1" ht="13.2"/>
    <row r="450" s="81" customFormat="1" ht="13.2"/>
    <row r="451" s="81" customFormat="1" ht="13.2"/>
    <row r="452" s="81" customFormat="1" ht="13.2"/>
    <row r="453" s="81" customFormat="1" ht="13.2"/>
    <row r="454" s="81" customFormat="1" ht="13.2"/>
    <row r="455" s="81" customFormat="1" ht="13.2"/>
    <row r="456" s="81" customFormat="1" ht="13.2"/>
    <row r="457" s="81" customFormat="1" ht="13.2"/>
    <row r="458" s="81" customFormat="1" ht="13.2"/>
    <row r="459" s="81" customFormat="1" ht="13.2"/>
    <row r="460" s="81" customFormat="1" ht="13.2"/>
    <row r="461" s="81" customFormat="1" ht="13.2"/>
    <row r="462" s="81" customFormat="1" ht="13.2"/>
    <row r="463" s="81" customFormat="1" ht="13.2"/>
    <row r="464" s="81" customFormat="1" ht="13.2"/>
    <row r="465" s="81" customFormat="1" ht="13.2"/>
    <row r="466" s="81" customFormat="1" ht="13.2"/>
    <row r="467" s="81" customFormat="1" ht="13.2"/>
    <row r="468" s="81" customFormat="1" ht="13.2"/>
    <row r="469" s="81" customFormat="1" ht="13.2"/>
    <row r="470" s="81" customFormat="1" ht="13.2"/>
    <row r="471" s="81" customFormat="1" ht="13.2"/>
    <row r="472" s="81" customFormat="1" ht="13.2"/>
    <row r="473" s="81" customFormat="1" ht="13.2"/>
    <row r="474" s="81" customFormat="1" ht="13.2"/>
    <row r="475" s="81" customFormat="1" ht="13.2"/>
    <row r="476" s="81" customFormat="1" ht="13.2"/>
    <row r="477" s="81" customFormat="1" ht="13.2"/>
    <row r="478" s="81" customFormat="1" ht="13.2"/>
    <row r="479" s="81" customFormat="1" ht="13.2"/>
    <row r="480" s="81" customFormat="1" ht="13.2"/>
    <row r="481" s="81" customFormat="1" ht="13.2"/>
    <row r="482" s="81" customFormat="1" ht="13.2"/>
    <row r="483" s="81" customFormat="1" ht="13.2"/>
    <row r="484" s="81" customFormat="1" ht="13.2"/>
    <row r="485" s="81" customFormat="1" ht="13.2"/>
    <row r="486" s="81" customFormat="1" ht="13.2"/>
    <row r="487" s="81" customFormat="1" ht="13.2"/>
    <row r="488" s="81" customFormat="1" ht="13.2"/>
    <row r="489" s="81" customFormat="1" ht="13.2"/>
    <row r="490" s="81" customFormat="1" ht="13.2"/>
    <row r="491" s="81" customFormat="1" ht="13.2"/>
    <row r="492" s="81" customFormat="1" ht="13.2"/>
    <row r="493" s="81" customFormat="1" ht="13.2"/>
    <row r="494" s="81" customFormat="1" ht="13.2"/>
    <row r="495" s="81" customFormat="1" ht="13.2"/>
    <row r="496" s="81" customFormat="1" ht="13.2"/>
    <row r="497" s="81" customFormat="1" ht="13.2"/>
    <row r="498" s="81" customFormat="1" ht="13.2"/>
    <row r="499" s="81" customFormat="1" ht="13.2"/>
    <row r="500" s="81" customFormat="1" ht="13.2"/>
    <row r="501" s="81" customFormat="1" ht="13.2"/>
    <row r="502" s="81" customFormat="1" ht="13.2"/>
    <row r="503" s="81" customFormat="1" ht="13.2"/>
    <row r="504" s="81" customFormat="1" ht="13.2"/>
    <row r="505" s="81" customFormat="1" ht="13.2"/>
    <row r="506" s="81" customFormat="1" ht="13.2"/>
    <row r="507" s="81" customFormat="1" ht="13.2"/>
    <row r="508" s="81" customFormat="1" ht="13.2"/>
    <row r="509" s="81" customFormat="1" ht="13.2"/>
    <row r="510" s="81" customFormat="1" ht="13.2"/>
    <row r="511" s="81" customFormat="1" ht="13.2"/>
    <row r="512" s="81" customFormat="1" ht="13.2"/>
    <row r="513" s="81" customFormat="1" ht="13.2"/>
    <row r="514" s="81" customFormat="1" ht="13.2"/>
    <row r="515" s="81" customFormat="1" ht="13.2"/>
    <row r="516" s="81" customFormat="1" ht="13.2"/>
    <row r="517" s="81" customFormat="1" ht="13.2"/>
    <row r="518" s="81" customFormat="1" ht="13.2"/>
    <row r="519" s="81" customFormat="1" ht="13.2"/>
    <row r="520" s="81" customFormat="1" ht="13.2"/>
    <row r="521" s="81" customFormat="1" ht="13.2"/>
    <row r="522" s="81" customFormat="1" ht="13.2"/>
    <row r="523" s="81" customFormat="1" ht="13.2"/>
    <row r="524" s="81" customFormat="1" ht="13.2"/>
    <row r="525" s="81" customFormat="1" ht="13.2"/>
    <row r="526" s="81" customFormat="1" ht="13.2"/>
    <row r="527" s="81" customFormat="1" ht="13.2"/>
    <row r="528" s="81" customFormat="1" ht="13.2"/>
    <row r="529" s="81" customFormat="1" ht="13.2"/>
    <row r="530" s="81" customFormat="1" ht="13.2"/>
    <row r="531" s="81" customFormat="1" ht="13.2"/>
    <row r="532" s="81" customFormat="1" ht="13.2"/>
    <row r="533" s="81" customFormat="1" ht="13.2"/>
    <row r="534" s="81" customFormat="1" ht="13.2"/>
    <row r="535" s="81" customFormat="1" ht="13.2"/>
    <row r="536" s="81" customFormat="1" ht="13.2"/>
    <row r="537" s="81" customFormat="1" ht="13.2"/>
    <row r="538" s="81" customFormat="1" ht="13.2"/>
    <row r="539" s="81" customFormat="1" ht="13.2"/>
    <row r="540" s="81" customFormat="1" ht="13.2"/>
    <row r="541" s="81" customFormat="1" ht="13.2"/>
    <row r="542" s="81" customFormat="1" ht="13.2"/>
    <row r="543" s="81" customFormat="1" ht="13.2"/>
    <row r="544" s="81" customFormat="1" ht="13.2"/>
    <row r="545" s="81" customFormat="1" ht="13.2"/>
    <row r="546" s="81" customFormat="1" ht="13.2"/>
    <row r="547" s="81" customFormat="1" ht="13.2"/>
    <row r="548" s="81" customFormat="1" ht="13.2"/>
    <row r="549" s="81" customFormat="1" ht="13.2"/>
    <row r="550" s="81" customFormat="1" ht="13.2"/>
    <row r="551" s="81" customFormat="1" ht="13.2"/>
    <row r="552" s="81" customFormat="1" ht="13.2"/>
    <row r="553" s="81" customFormat="1" ht="13.2"/>
    <row r="554" s="81" customFormat="1" ht="13.2"/>
    <row r="555" s="81" customFormat="1" ht="13.2"/>
    <row r="556" s="81" customFormat="1" ht="13.2"/>
    <row r="557" s="81" customFormat="1" ht="13.2"/>
    <row r="558" s="81" customFormat="1" ht="13.2"/>
    <row r="559" s="81" customFormat="1" ht="13.2"/>
    <row r="560" s="81" customFormat="1" ht="13.2"/>
    <row r="561" s="81" customFormat="1" ht="13.2"/>
    <row r="562" s="81" customFormat="1" ht="13.2"/>
    <row r="563" s="81" customFormat="1" ht="13.2"/>
    <row r="564" s="81" customFormat="1" ht="13.2"/>
    <row r="565" s="81" customFormat="1" ht="13.2"/>
    <row r="566" s="81" customFormat="1" ht="13.2"/>
    <row r="567" s="81" customFormat="1" ht="13.2"/>
    <row r="568" s="81" customFormat="1" ht="13.2"/>
    <row r="569" s="81" customFormat="1" ht="13.2"/>
    <row r="570" s="81" customFormat="1" ht="13.2"/>
    <row r="571" s="81" customFormat="1" ht="13.2"/>
    <row r="572" s="81" customFormat="1" ht="13.2"/>
    <row r="573" s="81" customFormat="1" ht="13.2"/>
    <row r="574" s="81" customFormat="1" ht="13.2"/>
    <row r="575" s="81" customFormat="1" ht="13.2"/>
    <row r="576" s="81" customFormat="1" ht="13.2"/>
    <row r="577" s="81" customFormat="1" ht="13.2"/>
    <row r="578" s="81" customFormat="1" ht="13.2"/>
    <row r="579" s="81" customFormat="1" ht="13.2"/>
    <row r="580" s="81" customFormat="1" ht="13.2"/>
    <row r="581" s="81" customFormat="1" ht="13.2"/>
    <row r="582" s="81" customFormat="1" ht="13.2"/>
    <row r="583" s="81" customFormat="1" ht="13.2"/>
    <row r="584" s="81" customFormat="1" ht="13.2"/>
    <row r="585" s="81" customFormat="1" ht="13.2"/>
    <row r="586" s="81" customFormat="1" ht="13.2"/>
    <row r="587" s="81" customFormat="1" ht="13.2"/>
    <row r="588" s="81" customFormat="1" ht="13.2"/>
    <row r="589" s="81" customFormat="1" ht="13.2"/>
    <row r="590" s="81" customFormat="1" ht="13.2"/>
    <row r="591" s="81" customFormat="1" ht="13.2"/>
    <row r="592" s="81" customFormat="1" ht="13.2"/>
    <row r="593" s="81" customFormat="1" ht="13.2"/>
    <row r="594" s="81" customFormat="1" ht="13.2"/>
    <row r="595" s="81" customFormat="1" ht="13.2"/>
    <row r="596" s="81" customFormat="1" ht="13.2"/>
    <row r="597" s="81" customFormat="1" ht="13.2"/>
    <row r="598" s="81" customFormat="1" ht="13.2"/>
    <row r="599" s="81" customFormat="1" ht="13.2"/>
    <row r="600" s="81" customFormat="1" ht="13.2"/>
    <row r="601" s="81" customFormat="1" ht="13.2"/>
    <row r="602" s="81" customFormat="1" ht="13.2"/>
    <row r="603" s="81" customFormat="1" ht="13.2"/>
    <row r="604" s="81" customFormat="1" ht="13.2"/>
    <row r="605" s="81" customFormat="1" ht="13.2"/>
    <row r="606" s="81" customFormat="1" ht="13.2"/>
    <row r="607" s="81" customFormat="1" ht="13.2"/>
    <row r="608" s="81" customFormat="1" ht="13.2"/>
    <row r="609" s="81" customFormat="1" ht="13.2"/>
    <row r="610" s="81" customFormat="1" ht="13.2"/>
    <row r="611" s="81" customFormat="1" ht="13.2"/>
    <row r="612" s="81" customFormat="1" ht="13.2"/>
    <row r="613" s="81" customFormat="1" ht="13.2"/>
    <row r="614" s="81" customFormat="1" ht="13.2"/>
    <row r="615" s="81" customFormat="1" ht="13.2"/>
    <row r="616" s="81" customFormat="1" ht="13.2"/>
    <row r="617" s="81" customFormat="1" ht="13.2"/>
    <row r="618" s="81" customFormat="1" ht="13.2"/>
    <row r="619" s="81" customFormat="1" ht="13.2"/>
    <row r="620" s="81" customFormat="1" ht="13.2"/>
    <row r="621" s="81" customFormat="1" ht="13.2"/>
    <row r="622" s="81" customFormat="1" ht="13.2"/>
    <row r="623" s="81" customFormat="1" ht="13.2"/>
    <row r="624" s="81" customFormat="1" ht="13.2"/>
    <row r="625" s="81" customFormat="1" ht="13.2"/>
    <row r="626" s="81" customFormat="1" ht="13.2"/>
    <row r="627" s="81" customFormat="1" ht="13.2"/>
    <row r="628" s="81" customFormat="1" ht="13.2"/>
    <row r="629" s="81" customFormat="1" ht="13.2"/>
    <row r="630" s="81" customFormat="1" ht="13.2"/>
    <row r="631" s="81" customFormat="1" ht="13.2"/>
    <row r="632" s="81" customFormat="1" ht="13.2"/>
    <row r="633" s="81" customFormat="1" ht="13.2"/>
    <row r="634" s="81" customFormat="1" ht="13.2"/>
    <row r="635" s="81" customFormat="1" ht="13.2"/>
    <row r="636" s="81" customFormat="1" ht="13.2"/>
    <row r="637" s="81" customFormat="1" ht="13.2"/>
    <row r="638" s="81" customFormat="1" ht="13.2"/>
    <row r="639" s="81" customFormat="1" ht="13.2"/>
    <row r="640" s="81" customFormat="1" ht="13.2"/>
    <row r="641" s="81" customFormat="1" ht="13.2"/>
    <row r="642" s="81" customFormat="1" ht="13.2"/>
    <row r="643" s="81" customFormat="1" ht="13.2"/>
    <row r="644" s="81" customFormat="1" ht="13.2"/>
    <row r="645" s="81" customFormat="1" ht="13.2"/>
    <row r="646" s="81" customFormat="1" ht="13.2"/>
    <row r="647" s="81" customFormat="1" ht="13.2"/>
    <row r="648" s="81" customFormat="1" ht="13.2"/>
    <row r="649" s="81" customFormat="1" ht="13.2"/>
    <row r="650" s="81" customFormat="1" ht="13.2"/>
    <row r="651" s="81" customFormat="1" ht="13.2"/>
    <row r="652" s="81" customFormat="1" ht="13.2"/>
    <row r="653" s="81" customFormat="1" ht="13.2"/>
    <row r="654" s="81" customFormat="1" ht="13.2"/>
    <row r="655" s="81" customFormat="1" ht="13.2"/>
    <row r="656" s="81" customFormat="1" ht="13.2"/>
    <row r="657" s="81" customFormat="1" ht="13.2"/>
    <row r="658" s="81" customFormat="1" ht="13.2"/>
    <row r="659" s="81" customFormat="1" ht="13.2"/>
    <row r="660" s="81" customFormat="1" ht="13.2"/>
    <row r="661" s="81" customFormat="1" ht="13.2"/>
    <row r="662" s="81" customFormat="1" ht="13.2"/>
    <row r="663" s="81" customFormat="1" ht="13.2"/>
    <row r="664" s="81" customFormat="1" ht="13.2"/>
    <row r="665" s="81" customFormat="1" ht="13.2"/>
    <row r="666" s="81" customFormat="1" ht="13.2"/>
    <row r="667" s="81" customFormat="1" ht="13.2"/>
    <row r="668" s="81" customFormat="1" ht="13.2"/>
    <row r="669" s="81" customFormat="1" ht="13.2"/>
    <row r="670" s="81" customFormat="1" ht="13.2"/>
    <row r="671" s="81" customFormat="1" ht="13.2"/>
    <row r="672" s="81" customFormat="1" ht="13.2"/>
    <row r="673" s="81" customFormat="1" ht="13.2"/>
    <row r="674" s="81" customFormat="1" ht="13.2"/>
    <row r="675" s="81" customFormat="1" ht="13.2"/>
    <row r="676" s="81" customFormat="1" ht="13.2"/>
    <row r="677" s="81" customFormat="1" ht="13.2"/>
    <row r="678" s="81" customFormat="1" ht="13.2"/>
    <row r="679" s="81" customFormat="1" ht="13.2"/>
    <row r="680" s="81" customFormat="1" ht="13.2"/>
    <row r="681" s="81" customFormat="1" ht="13.2"/>
    <row r="682" s="81" customFormat="1" ht="13.2"/>
    <row r="683" s="81" customFormat="1" ht="13.2"/>
    <row r="684" s="81" customFormat="1" ht="13.2"/>
    <row r="685" s="81" customFormat="1" ht="13.2"/>
    <row r="686" s="81" customFormat="1" ht="13.2"/>
    <row r="687" s="81" customFormat="1" ht="13.2"/>
    <row r="688" s="81" customFormat="1" ht="13.2"/>
    <row r="689" s="81" customFormat="1" ht="13.2"/>
    <row r="690" s="81" customFormat="1" ht="13.2"/>
    <row r="691" s="81" customFormat="1" ht="13.2"/>
    <row r="692" s="81" customFormat="1" ht="13.2"/>
    <row r="693" s="81" customFormat="1" ht="13.2"/>
    <row r="694" s="81" customFormat="1" ht="13.2"/>
    <row r="695" s="81" customFormat="1" ht="13.2"/>
    <row r="696" s="81" customFormat="1" ht="13.2"/>
    <row r="697" s="81" customFormat="1" ht="13.2"/>
    <row r="698" s="81" customFormat="1" ht="13.2"/>
    <row r="699" s="81" customFormat="1" ht="13.2"/>
    <row r="700" s="81" customFormat="1" ht="13.2"/>
    <row r="701" s="81" customFormat="1" ht="13.2"/>
    <row r="702" s="81" customFormat="1" ht="13.2"/>
    <row r="703" s="81" customFormat="1" ht="13.2"/>
    <row r="704" s="81" customFormat="1" ht="13.2"/>
    <row r="705" s="81" customFormat="1" ht="13.2"/>
    <row r="706" s="81" customFormat="1" ht="13.2"/>
    <row r="707" s="81" customFormat="1" ht="13.2"/>
    <row r="708" s="81" customFormat="1" ht="13.2"/>
    <row r="709" s="81" customFormat="1" ht="13.2"/>
    <row r="710" s="81" customFormat="1" ht="13.2"/>
    <row r="711" s="81" customFormat="1" ht="13.2"/>
    <row r="712" s="81" customFormat="1" ht="13.2"/>
    <row r="713" s="81" customFormat="1" ht="13.2"/>
    <row r="714" s="81" customFormat="1" ht="13.2"/>
    <row r="715" s="81" customFormat="1" ht="13.2"/>
    <row r="716" s="81" customFormat="1" ht="13.2"/>
    <row r="717" s="81" customFormat="1" ht="13.2"/>
    <row r="718" s="81" customFormat="1" ht="13.2"/>
    <row r="719" s="81" customFormat="1" ht="13.2"/>
    <row r="720" s="81" customFormat="1" ht="13.2"/>
    <row r="721" s="81" customFormat="1" ht="13.2"/>
    <row r="722" s="81" customFormat="1" ht="13.2"/>
    <row r="723" s="81" customFormat="1" ht="13.2"/>
    <row r="724" s="81" customFormat="1" ht="13.2"/>
    <row r="725" s="81" customFormat="1" ht="13.2"/>
    <row r="726" s="81" customFormat="1" ht="13.2"/>
    <row r="727" s="81" customFormat="1" ht="13.2"/>
    <row r="728" s="81" customFormat="1" ht="13.2"/>
    <row r="729" s="81" customFormat="1" ht="13.2"/>
    <row r="730" s="81" customFormat="1" ht="13.2"/>
    <row r="731" s="81" customFormat="1" ht="13.2"/>
    <row r="732" s="81" customFormat="1" ht="13.2"/>
    <row r="733" s="81" customFormat="1" ht="13.2"/>
    <row r="734" s="81" customFormat="1" ht="13.2"/>
    <row r="735" s="81" customFormat="1" ht="13.2"/>
    <row r="736" s="81" customFormat="1" ht="13.2"/>
    <row r="737" s="81" customFormat="1" ht="13.2"/>
    <row r="738" s="81" customFormat="1" ht="13.2"/>
    <row r="739" s="81" customFormat="1" ht="13.2"/>
    <row r="740" s="81" customFormat="1" ht="13.2"/>
    <row r="741" s="81" customFormat="1" ht="13.2"/>
    <row r="742" s="81" customFormat="1" ht="13.2"/>
    <row r="743" s="81" customFormat="1" ht="13.2"/>
    <row r="744" s="81" customFormat="1" ht="13.2"/>
    <row r="745" s="81" customFormat="1" ht="13.2"/>
    <row r="746" s="81" customFormat="1" ht="13.2"/>
    <row r="747" s="81" customFormat="1" ht="13.2"/>
    <row r="748" s="81" customFormat="1" ht="13.2"/>
    <row r="749" s="81" customFormat="1" ht="13.2"/>
    <row r="750" s="81" customFormat="1" ht="13.2"/>
    <row r="751" s="81" customFormat="1" ht="13.2"/>
    <row r="752" s="81" customFormat="1" ht="13.2"/>
    <row r="753" s="81" customFormat="1" ht="13.2"/>
    <row r="754" s="81" customFormat="1" ht="13.2"/>
    <row r="755" s="81" customFormat="1" ht="13.2"/>
    <row r="756" s="81" customFormat="1" ht="13.2"/>
    <row r="757" s="81" customFormat="1" ht="13.2"/>
    <row r="758" s="81" customFormat="1" ht="13.2"/>
    <row r="759" s="81" customFormat="1" ht="13.2"/>
    <row r="760" s="81" customFormat="1" ht="13.2"/>
    <row r="761" s="81" customFormat="1" ht="13.2"/>
    <row r="762" s="81" customFormat="1" ht="13.2"/>
    <row r="763" s="81" customFormat="1" ht="13.2"/>
    <row r="764" s="81" customFormat="1" ht="13.2"/>
    <row r="765" s="81" customFormat="1" ht="13.2"/>
    <row r="766" s="81" customFormat="1" ht="13.2"/>
    <row r="767" s="81" customFormat="1" ht="13.2"/>
    <row r="768" s="81" customFormat="1" ht="13.2"/>
    <row r="769" s="81" customFormat="1" ht="13.2"/>
    <row r="770" s="81" customFormat="1" ht="13.2"/>
    <row r="771" s="81" customFormat="1" ht="13.2"/>
    <row r="772" s="81" customFormat="1" ht="13.2"/>
    <row r="773" s="81" customFormat="1" ht="13.2"/>
    <row r="774" s="81" customFormat="1" ht="13.2"/>
    <row r="775" s="81" customFormat="1" ht="13.2"/>
    <row r="776" s="81" customFormat="1" ht="13.2"/>
    <row r="777" s="81" customFormat="1" ht="13.2"/>
    <row r="778" s="81" customFormat="1" ht="13.2"/>
    <row r="779" s="81" customFormat="1" ht="13.2"/>
    <row r="780" s="81" customFormat="1" ht="13.2"/>
    <row r="781" s="81" customFormat="1" ht="13.2"/>
    <row r="782" s="81" customFormat="1" ht="13.2"/>
    <row r="783" s="81" customFormat="1" ht="13.2"/>
    <row r="784" s="81" customFormat="1" ht="13.2"/>
    <row r="785" s="81" customFormat="1" ht="13.2"/>
    <row r="786" s="81" customFormat="1" ht="13.2"/>
    <row r="787" s="81" customFormat="1" ht="13.2"/>
    <row r="788" s="81" customFormat="1" ht="13.2"/>
    <row r="789" s="81" customFormat="1" ht="13.2"/>
    <row r="790" s="81" customFormat="1" ht="13.2"/>
    <row r="791" s="81" customFormat="1" ht="13.2"/>
    <row r="792" s="81" customFormat="1" ht="13.2"/>
    <row r="793" s="81" customFormat="1" ht="13.2"/>
    <row r="794" s="81" customFormat="1" ht="13.2"/>
    <row r="795" s="81" customFormat="1" ht="13.2"/>
    <row r="796" s="81" customFormat="1" ht="13.2"/>
    <row r="797" s="81" customFormat="1" ht="13.2"/>
    <row r="798" s="81" customFormat="1" ht="13.2"/>
    <row r="799" s="81" customFormat="1" ht="13.2"/>
    <row r="800" s="81" customFormat="1" ht="13.2"/>
    <row r="801" s="81" customFormat="1" ht="13.2"/>
    <row r="802" s="81" customFormat="1" ht="13.2"/>
    <row r="803" s="81" customFormat="1" ht="13.2"/>
    <row r="804" s="81" customFormat="1" ht="13.2"/>
    <row r="805" s="81" customFormat="1" ht="13.2"/>
    <row r="806" s="81" customFormat="1" ht="13.2"/>
    <row r="807" s="81" customFormat="1" ht="13.2"/>
    <row r="808" s="81" customFormat="1" ht="13.2"/>
    <row r="809" s="81" customFormat="1" ht="13.2"/>
    <row r="810" s="81" customFormat="1" ht="13.2"/>
    <row r="811" s="81" customFormat="1" ht="13.2"/>
    <row r="812" s="81" customFormat="1" ht="13.2"/>
    <row r="813" s="81" customFormat="1" ht="13.2"/>
    <row r="814" s="81" customFormat="1" ht="13.2"/>
    <row r="815" s="81" customFormat="1" ht="13.2"/>
    <row r="816" s="81" customFormat="1" ht="13.2"/>
    <row r="817" s="81" customFormat="1" ht="13.2"/>
    <row r="818" s="81" customFormat="1" ht="13.2"/>
    <row r="819" s="81" customFormat="1" ht="13.2"/>
    <row r="820" s="81" customFormat="1" ht="13.2"/>
    <row r="821" s="81" customFormat="1" ht="13.2"/>
    <row r="822" s="81" customFormat="1" ht="13.2"/>
    <row r="823" s="81" customFormat="1" ht="13.2"/>
    <row r="824" s="81" customFormat="1" ht="13.2"/>
    <row r="825" s="81" customFormat="1" ht="13.2"/>
    <row r="826" s="81" customFormat="1" ht="13.2"/>
    <row r="827" s="81" customFormat="1" ht="13.2"/>
    <row r="828" s="81" customFormat="1" ht="13.2"/>
    <row r="829" s="81" customFormat="1" ht="13.2"/>
    <row r="830" s="81" customFormat="1" ht="13.2"/>
    <row r="831" s="81" customFormat="1" ht="13.2"/>
    <row r="832" s="81" customFormat="1" ht="13.2"/>
    <row r="833" spans="2:19" ht="13.2"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</row>
    <row r="834" spans="2:19" ht="13.2"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</row>
    <row r="835" spans="2:19" ht="13.2"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</row>
    <row r="836" spans="2:19" ht="13.2"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</row>
    <row r="837" spans="2:19" ht="13.2"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</row>
    <row r="838" spans="2:19" ht="13.2"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</row>
    <row r="839" spans="2:19" ht="13.2"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</row>
    <row r="840" spans="2:19" ht="13.2"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</row>
    <row r="841" spans="2:19" ht="13.2"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</row>
    <row r="842" spans="2:19" ht="13.2"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</row>
    <row r="843" spans="2:19" ht="13.2"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</row>
    <row r="844" spans="2:19" ht="13.2"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</row>
    <row r="845" spans="2:19" ht="13.2"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</row>
    <row r="846" spans="2:19" ht="13.2"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</row>
    <row r="847" spans="2:19" ht="13.2"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</row>
    <row r="848" spans="2:19" ht="13.2"/>
    <row r="849" spans="2:19" ht="13.2"/>
    <row r="850" spans="2:19" ht="13.2"/>
    <row r="851" spans="2:19" ht="13.2"/>
    <row r="852" spans="2:19" ht="13.2"/>
    <row r="853" spans="2:19" ht="13.2"/>
    <row r="854" spans="2:19" ht="13.2"/>
    <row r="855" spans="2:19" ht="13.2"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</row>
    <row r="856" spans="2:19" ht="13.2"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</row>
    <row r="857" spans="2:19" ht="13.2"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</row>
    <row r="858" spans="2:19" ht="13.2"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</row>
    <row r="859" spans="2:19" ht="13.2"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</row>
    <row r="860" spans="2:19" ht="13.2"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</row>
    <row r="861" spans="2:19" ht="13.2"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</row>
    <row r="862" spans="2:19" ht="13.2"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</row>
    <row r="863" spans="2:19" ht="13.2"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</row>
    <row r="864" spans="2:19" ht="13.2"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</row>
    <row r="865" s="81" customFormat="1" ht="13.2"/>
    <row r="866" s="81" customFormat="1" ht="13.2"/>
    <row r="867" s="81" customFormat="1" ht="13.2"/>
    <row r="868" s="81" customFormat="1" ht="13.2"/>
    <row r="869" s="81" customFormat="1" ht="13.2"/>
    <row r="870" s="81" customFormat="1" ht="13.2"/>
    <row r="871" s="81" customFormat="1" ht="13.2"/>
    <row r="872" s="81" customFormat="1" ht="13.2"/>
    <row r="873" s="81" customFormat="1" ht="13.2"/>
    <row r="874" s="81" customFormat="1" ht="13.2"/>
    <row r="875" s="81" customFormat="1" ht="13.2"/>
    <row r="876" s="81" customFormat="1" ht="13.2"/>
    <row r="877" s="81" customFormat="1" ht="13.2"/>
    <row r="878" s="81" customFormat="1" ht="13.2"/>
    <row r="879" s="81" customFormat="1" ht="13.2"/>
    <row r="880" s="81" customFormat="1" ht="13.2"/>
    <row r="881" s="81" customFormat="1" ht="13.2"/>
    <row r="882" s="81" customFormat="1" ht="13.2"/>
    <row r="883" s="81" customFormat="1" ht="13.2"/>
    <row r="884" s="81" customFormat="1" ht="13.2"/>
    <row r="885" s="81" customFormat="1" ht="13.2"/>
    <row r="886" s="81" customFormat="1" ht="13.2"/>
    <row r="887" s="81" customFormat="1" ht="13.2"/>
    <row r="888" s="81" customFormat="1" ht="13.2"/>
    <row r="889" s="81" customFormat="1" ht="13.2"/>
    <row r="890" s="81" customFormat="1" ht="13.2"/>
    <row r="891" s="81" customFormat="1" ht="13.2"/>
    <row r="892" s="81" customFormat="1" ht="13.2"/>
    <row r="893" s="81" customFormat="1" ht="13.2"/>
    <row r="894" s="81" customFormat="1" ht="13.2"/>
    <row r="895" s="81" customFormat="1" ht="13.2"/>
    <row r="896" s="81" customFormat="1" ht="13.2"/>
    <row r="897" s="81" customFormat="1" ht="13.2"/>
    <row r="898" s="81" customFormat="1" ht="13.2"/>
    <row r="899" s="81" customFormat="1" ht="13.2"/>
    <row r="900" s="81" customFormat="1" ht="13.2"/>
    <row r="901" s="81" customFormat="1" ht="13.2"/>
    <row r="902" s="81" customFormat="1" ht="13.2"/>
    <row r="903" s="81" customFormat="1" ht="13.2"/>
    <row r="904" s="81" customFormat="1" ht="13.2"/>
    <row r="905" s="81" customFormat="1" ht="13.2"/>
    <row r="906" s="81" customFormat="1" ht="13.2"/>
    <row r="907" s="81" customFormat="1" ht="13.2"/>
    <row r="908" s="81" customFormat="1" ht="13.2"/>
    <row r="909" s="81" customFormat="1" ht="13.2"/>
    <row r="910" s="81" customFormat="1" ht="13.2"/>
    <row r="911" s="81" customFormat="1" ht="13.2"/>
    <row r="912" s="81" customFormat="1" ht="13.2"/>
    <row r="913" s="81" customFormat="1" ht="13.2"/>
    <row r="914" s="81" customFormat="1" ht="13.2"/>
    <row r="915" s="81" customFormat="1" ht="13.2"/>
    <row r="916" s="81" customFormat="1" ht="13.2"/>
    <row r="917" s="81" customFormat="1" ht="13.2"/>
    <row r="918" s="81" customFormat="1" ht="13.2"/>
    <row r="919" s="81" customFormat="1" ht="13.2"/>
    <row r="920" s="81" customFormat="1" ht="13.2"/>
    <row r="921" s="81" customFormat="1" ht="13.2"/>
    <row r="922" s="81" customFormat="1" ht="13.2"/>
    <row r="923" s="81" customFormat="1" ht="13.2"/>
    <row r="924" s="81" customFormat="1" ht="13.2"/>
    <row r="925" s="81" customFormat="1" ht="13.2"/>
    <row r="926" s="81" customFormat="1" ht="13.2"/>
    <row r="927" s="81" customFormat="1" ht="13.2"/>
    <row r="928" s="81" customFormat="1" ht="13.2"/>
    <row r="929" s="81" customFormat="1" ht="13.2"/>
    <row r="930" s="81" customFormat="1" ht="13.2"/>
    <row r="931" s="81" customFormat="1" ht="13.2"/>
    <row r="932" s="81" customFormat="1" ht="13.2"/>
    <row r="933" s="81" customFormat="1" ht="13.2"/>
    <row r="934" s="81" customFormat="1" ht="13.2"/>
    <row r="935" s="81" customFormat="1" ht="13.2"/>
    <row r="936" s="81" customFormat="1" ht="13.2"/>
    <row r="937" s="81" customFormat="1" ht="13.2"/>
    <row r="938" s="81" customFormat="1" ht="13.2"/>
    <row r="939" s="81" customFormat="1" ht="13.2"/>
    <row r="940" s="81" customFormat="1" ht="13.2"/>
    <row r="941" s="81" customFormat="1" ht="13.2"/>
    <row r="942" s="81" customFormat="1" ht="13.2"/>
    <row r="943" s="81" customFormat="1" ht="13.2"/>
    <row r="944" s="81" customFormat="1" ht="13.2"/>
    <row r="945" spans="2:19" ht="13.2"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</row>
    <row r="946" spans="2:19" ht="13.2"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</row>
    <row r="947" spans="2:19" ht="13.2"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</row>
    <row r="948" spans="2:19" ht="13.2"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</row>
    <row r="949" spans="2:19" ht="13.2"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</row>
    <row r="950" spans="2:19" ht="13.2"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</row>
    <row r="951" spans="2:19" ht="13.2"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</row>
    <row r="952" spans="2:19" ht="13.2"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</row>
    <row r="953" spans="2:19" ht="13.2"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</row>
    <row r="954" spans="2:19" ht="13.2"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</row>
    <row r="955" spans="2:19" ht="13.2"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</row>
    <row r="956" spans="2:19" ht="13.2"/>
    <row r="957" spans="2:19" ht="13.2"/>
    <row r="958" spans="2:19" ht="13.2"/>
    <row r="959" spans="2:19" ht="13.2"/>
    <row r="960" spans="2:19" ht="13.2"/>
  </sheetData>
  <conditionalFormatting sqref="B1:B1048576">
    <cfRule type="duplicateValues" dxfId="422" priority="1"/>
  </conditionalFormatting>
  <conditionalFormatting sqref="B13">
    <cfRule type="duplicateValues" dxfId="421" priority="72"/>
    <cfRule type="duplicateValues" dxfId="420" priority="73"/>
    <cfRule type="duplicateValues" dxfId="419" priority="74"/>
    <cfRule type="duplicateValues" dxfId="418" priority="76"/>
  </conditionalFormatting>
  <conditionalFormatting sqref="B14">
    <cfRule type="duplicateValues" dxfId="417" priority="45"/>
    <cfRule type="duplicateValues" dxfId="416" priority="44"/>
    <cfRule type="duplicateValues" dxfId="415" priority="46"/>
  </conditionalFormatting>
  <conditionalFormatting sqref="B15">
    <cfRule type="duplicateValues" dxfId="414" priority="31"/>
    <cfRule type="duplicateValues" dxfId="413" priority="30"/>
    <cfRule type="duplicateValues" dxfId="412" priority="28"/>
    <cfRule type="duplicateValues" dxfId="411" priority="26"/>
  </conditionalFormatting>
  <conditionalFormatting sqref="B16">
    <cfRule type="duplicateValues" dxfId="410" priority="20"/>
    <cfRule type="duplicateValues" dxfId="409" priority="21"/>
    <cfRule type="duplicateValues" dxfId="408" priority="22"/>
    <cfRule type="duplicateValues" dxfId="407" priority="23"/>
  </conditionalFormatting>
  <conditionalFormatting sqref="B17">
    <cfRule type="duplicateValues" dxfId="406" priority="71"/>
  </conditionalFormatting>
  <conditionalFormatting sqref="B44 B46 B48:B49">
    <cfRule type="duplicateValues" dxfId="405" priority="103"/>
  </conditionalFormatting>
  <conditionalFormatting sqref="B45">
    <cfRule type="duplicateValues" dxfId="404" priority="32"/>
    <cfRule type="duplicateValues" dxfId="403" priority="34"/>
    <cfRule type="duplicateValues" dxfId="402" priority="33"/>
  </conditionalFormatting>
  <conditionalFormatting sqref="B47">
    <cfRule type="duplicateValues" dxfId="401" priority="37"/>
    <cfRule type="duplicateValues" dxfId="400" priority="39"/>
    <cfRule type="duplicateValues" dxfId="399" priority="41"/>
    <cfRule type="duplicateValues" dxfId="398" priority="42"/>
    <cfRule type="duplicateValues" dxfId="397" priority="43"/>
    <cfRule type="duplicateValues" dxfId="396" priority="40"/>
  </conditionalFormatting>
  <conditionalFormatting sqref="B59">
    <cfRule type="duplicateValues" dxfId="395" priority="83"/>
    <cfRule type="duplicateValues" dxfId="394" priority="82"/>
    <cfRule type="duplicateValues" dxfId="393" priority="81"/>
  </conditionalFormatting>
  <conditionalFormatting sqref="B60:B62">
    <cfRule type="duplicateValues" dxfId="392" priority="95"/>
  </conditionalFormatting>
  <conditionalFormatting sqref="B63">
    <cfRule type="duplicateValues" dxfId="391" priority="80"/>
    <cfRule type="duplicateValues" dxfId="390" priority="78"/>
    <cfRule type="duplicateValues" dxfId="389" priority="77"/>
  </conditionalFormatting>
  <conditionalFormatting sqref="B67">
    <cfRule type="duplicateValues" dxfId="388" priority="19"/>
    <cfRule type="duplicateValues" dxfId="387" priority="18"/>
    <cfRule type="duplicateValues" dxfId="386" priority="16"/>
    <cfRule type="duplicateValues" dxfId="385" priority="14"/>
  </conditionalFormatting>
  <conditionalFormatting sqref="B68:B70">
    <cfRule type="duplicateValues" dxfId="384" priority="48"/>
  </conditionalFormatting>
  <conditionalFormatting sqref="B71:B74">
    <cfRule type="duplicateValues" dxfId="383" priority="2"/>
    <cfRule type="duplicateValues" dxfId="382" priority="4"/>
    <cfRule type="duplicateValues" dxfId="381" priority="6"/>
    <cfRule type="duplicateValues" dxfId="380" priority="7"/>
  </conditionalFormatting>
  <conditionalFormatting sqref="B75">
    <cfRule type="duplicateValues" dxfId="379" priority="8"/>
    <cfRule type="duplicateValues" dxfId="378" priority="10"/>
    <cfRule type="duplicateValues" dxfId="377" priority="13"/>
    <cfRule type="duplicateValues" dxfId="376" priority="12"/>
  </conditionalFormatting>
  <conditionalFormatting sqref="B76:B1048576 B17:B44 B1:B13 B48:B66 B46 B68:B70">
    <cfRule type="duplicateValues" dxfId="375" priority="47"/>
  </conditionalFormatting>
  <conditionalFormatting sqref="B76:B1048576 B18:B43 B1:B12 B50:B66">
    <cfRule type="duplicateValues" dxfId="374" priority="97"/>
  </conditionalFormatting>
  <conditionalFormatting sqref="B76:B1048576 B50:B62 B18:B43 B1:B12 B64:B66">
    <cfRule type="duplicateValues" dxfId="373" priority="96"/>
  </conditionalFormatting>
  <conditionalFormatting sqref="B76:B1048576 B60:B62 B1:B12 B18:B43 B50:B58 B64:B66">
    <cfRule type="duplicateValues" dxfId="372" priority="93"/>
  </conditionalFormatting>
  <conditionalFormatting sqref="B76:C1048576 B31:B37 B1:C3 B51:B57 B18:B24 B7:C7 B6 B5:C5 B4">
    <cfRule type="duplicateValues" dxfId="371" priority="92"/>
  </conditionalFormatting>
  <conditionalFormatting sqref="B76:C1048576 B51:B57 B1:C3 B31:B37 B18:B24 B7:C7 B6 B5:C5 B4">
    <cfRule type="duplicateValues" dxfId="370" priority="91"/>
  </conditionalFormatting>
  <conditionalFormatting sqref="B76:C1048576">
    <cfRule type="duplicateValues" dxfId="369" priority="90"/>
  </conditionalFormatting>
  <conditionalFormatting sqref="C4">
    <cfRule type="duplicateValues" dxfId="368" priority="63"/>
    <cfRule type="duplicateValues" dxfId="367" priority="64"/>
    <cfRule type="duplicateValues" dxfId="366" priority="62"/>
  </conditionalFormatting>
  <conditionalFormatting sqref="C6">
    <cfRule type="duplicateValues" dxfId="365" priority="65"/>
    <cfRule type="duplicateValues" dxfId="364" priority="67"/>
    <cfRule type="duplicateValues" dxfId="363" priority="66"/>
  </conditionalFormatting>
  <conditionalFormatting sqref="C13">
    <cfRule type="duplicateValues" dxfId="362" priority="75"/>
  </conditionalFormatting>
  <conditionalFormatting sqref="C14 C17">
    <cfRule type="duplicateValues" dxfId="361" priority="102"/>
  </conditionalFormatting>
  <conditionalFormatting sqref="C15">
    <cfRule type="duplicateValues" dxfId="360" priority="29"/>
    <cfRule type="duplicateValues" dxfId="359" priority="27"/>
  </conditionalFormatting>
  <conditionalFormatting sqref="C16">
    <cfRule type="duplicateValues" dxfId="358" priority="25"/>
    <cfRule type="duplicateValues" dxfId="357" priority="24"/>
  </conditionalFormatting>
  <conditionalFormatting sqref="C21">
    <cfRule type="duplicateValues" dxfId="356" priority="85"/>
    <cfRule type="duplicateValues" dxfId="355" priority="84"/>
  </conditionalFormatting>
  <conditionalFormatting sqref="C23">
    <cfRule type="duplicateValues" dxfId="354" priority="68"/>
    <cfRule type="duplicateValues" dxfId="353" priority="70"/>
    <cfRule type="duplicateValues" dxfId="352" priority="69"/>
  </conditionalFormatting>
  <conditionalFormatting sqref="C30">
    <cfRule type="duplicateValues" dxfId="351" priority="86"/>
    <cfRule type="duplicateValues" dxfId="350" priority="87"/>
    <cfRule type="duplicateValues" dxfId="349" priority="88"/>
    <cfRule type="duplicateValues" dxfId="348" priority="89"/>
  </conditionalFormatting>
  <conditionalFormatting sqref="C34">
    <cfRule type="duplicateValues" dxfId="347" priority="59"/>
    <cfRule type="duplicateValues" dxfId="346" priority="61"/>
    <cfRule type="duplicateValues" dxfId="345" priority="60"/>
  </conditionalFormatting>
  <conditionalFormatting sqref="C36">
    <cfRule type="duplicateValues" dxfId="344" priority="56"/>
    <cfRule type="duplicateValues" dxfId="343" priority="57"/>
    <cfRule type="duplicateValues" dxfId="342" priority="58"/>
  </conditionalFormatting>
  <conditionalFormatting sqref="C43">
    <cfRule type="duplicateValues" dxfId="341" priority="98"/>
    <cfRule type="duplicateValues" dxfId="340" priority="99"/>
    <cfRule type="duplicateValues" dxfId="339" priority="100"/>
    <cfRule type="duplicateValues" dxfId="338" priority="101"/>
  </conditionalFormatting>
  <conditionalFormatting sqref="C44 C46 C48:C49">
    <cfRule type="duplicateValues" dxfId="337" priority="104"/>
  </conditionalFormatting>
  <conditionalFormatting sqref="C45">
    <cfRule type="duplicateValues" dxfId="336" priority="36"/>
    <cfRule type="duplicateValues" dxfId="335" priority="35"/>
  </conditionalFormatting>
  <conditionalFormatting sqref="C47">
    <cfRule type="duplicateValues" dxfId="334" priority="38"/>
  </conditionalFormatting>
  <conditionalFormatting sqref="C54">
    <cfRule type="duplicateValues" dxfId="333" priority="53"/>
    <cfRule type="duplicateValues" dxfId="332" priority="54"/>
    <cfRule type="duplicateValues" dxfId="331" priority="55"/>
  </conditionalFormatting>
  <conditionalFormatting sqref="C56">
    <cfRule type="duplicateValues" dxfId="330" priority="50"/>
    <cfRule type="duplicateValues" dxfId="329" priority="52"/>
    <cfRule type="duplicateValues" dxfId="328" priority="51"/>
  </conditionalFormatting>
  <conditionalFormatting sqref="C63">
    <cfRule type="duplicateValues" dxfId="327" priority="79"/>
  </conditionalFormatting>
  <conditionalFormatting sqref="C67">
    <cfRule type="duplicateValues" dxfId="326" priority="15"/>
    <cfRule type="duplicateValues" dxfId="325" priority="17"/>
  </conditionalFormatting>
  <conditionalFormatting sqref="C71:C74">
    <cfRule type="duplicateValues" dxfId="324" priority="5"/>
    <cfRule type="duplicateValues" dxfId="323" priority="3"/>
  </conditionalFormatting>
  <conditionalFormatting sqref="C75">
    <cfRule type="duplicateValues" dxfId="322" priority="11"/>
    <cfRule type="duplicateValues" dxfId="321" priority="9"/>
  </conditionalFormatting>
  <conditionalFormatting sqref="C76:C1048576 C48:C66 C1:C14 C46 C17:C44 C68:C70">
    <cfRule type="duplicateValues" dxfId="320" priority="49"/>
  </conditionalFormatting>
  <conditionalFormatting sqref="C76:C1048576 C64:C66 C1:C3 C60:C62 C18:C22 C24:C33 C7:C12 C5 C35 C55 C57:C58 C37:C43 C50:C53 C68:C70">
    <cfRule type="duplicateValues" dxfId="319" priority="94"/>
  </conditionalFormatting>
  <printOptions horizontalCentered="1"/>
  <pageMargins left="0.19685039370078741" right="0.19685039370078741" top="0.15748031496062992" bottom="0.11811023622047245" header="0.15748031496062992" footer="0.11811023622047245"/>
  <pageSetup paperSize="9" scale="50" fitToHeight="6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948"/>
  <sheetViews>
    <sheetView topLeftCell="A31" zoomScaleNormal="100" workbookViewId="0">
      <selection activeCell="S72" sqref="S72"/>
    </sheetView>
  </sheetViews>
  <sheetFormatPr defaultColWidth="26.77734375" defaultRowHeight="13.2"/>
  <cols>
    <col min="1" max="1" width="3.109375" style="81" bestFit="1" customWidth="1"/>
    <col min="2" max="2" width="33.6640625" style="97" customWidth="1"/>
    <col min="3" max="3" width="15.33203125" style="97" bestFit="1" customWidth="1"/>
    <col min="4" max="12" width="7.6640625" style="98" bestFit="1" customWidth="1"/>
    <col min="13" max="13" width="9.33203125" style="98" bestFit="1" customWidth="1"/>
    <col min="14" max="18" width="8.77734375" style="98" bestFit="1" customWidth="1"/>
    <col min="19" max="19" width="8.33203125" style="98" bestFit="1" customWidth="1"/>
    <col min="20" max="20" width="6.77734375" style="81" customWidth="1"/>
    <col min="21" max="16384" width="26.77734375" style="81"/>
  </cols>
  <sheetData>
    <row r="1" spans="1:20">
      <c r="A1" s="113"/>
      <c r="B1" s="114" t="s">
        <v>460</v>
      </c>
      <c r="C1" s="114"/>
      <c r="D1" s="115">
        <v>1</v>
      </c>
      <c r="E1" s="115">
        <v>2</v>
      </c>
      <c r="F1" s="115">
        <v>3</v>
      </c>
      <c r="G1" s="116">
        <v>4</v>
      </c>
      <c r="H1" s="115">
        <v>5</v>
      </c>
      <c r="I1" s="115">
        <v>6</v>
      </c>
      <c r="J1" s="115">
        <v>7</v>
      </c>
      <c r="K1" s="115">
        <v>8</v>
      </c>
      <c r="L1" s="115">
        <v>9</v>
      </c>
      <c r="M1" s="115">
        <v>10</v>
      </c>
      <c r="N1" s="116">
        <v>11</v>
      </c>
      <c r="O1" s="115">
        <v>12</v>
      </c>
      <c r="P1" s="115">
        <v>13</v>
      </c>
      <c r="Q1" s="115">
        <v>14</v>
      </c>
      <c r="R1" s="115">
        <v>15</v>
      </c>
      <c r="S1" s="117" t="s">
        <v>366</v>
      </c>
    </row>
    <row r="2" spans="1:20" s="149" customFormat="1">
      <c r="A2" s="145"/>
      <c r="B2" s="146" t="s">
        <v>403</v>
      </c>
      <c r="C2" s="146"/>
      <c r="D2" s="147">
        <v>1</v>
      </c>
      <c r="E2" s="147">
        <v>2</v>
      </c>
      <c r="F2" s="147">
        <v>3</v>
      </c>
      <c r="G2" s="147">
        <v>4</v>
      </c>
      <c r="H2" s="147">
        <v>5</v>
      </c>
      <c r="I2" s="147">
        <v>6</v>
      </c>
      <c r="J2" s="147">
        <v>7</v>
      </c>
      <c r="K2" s="147">
        <v>8</v>
      </c>
      <c r="L2" s="147">
        <v>9</v>
      </c>
      <c r="M2" s="147">
        <v>10</v>
      </c>
      <c r="N2" s="147">
        <v>11</v>
      </c>
      <c r="O2" s="147">
        <v>12</v>
      </c>
      <c r="P2" s="147">
        <v>13</v>
      </c>
      <c r="Q2" s="147">
        <v>14</v>
      </c>
      <c r="R2" s="147">
        <v>15</v>
      </c>
      <c r="S2" s="148" t="s">
        <v>366</v>
      </c>
    </row>
    <row r="3" spans="1:20" s="149" customFormat="1">
      <c r="A3" s="145"/>
      <c r="B3" s="150" t="s">
        <v>404</v>
      </c>
      <c r="C3" s="150"/>
      <c r="D3" s="151">
        <f>D5*D4</f>
        <v>0</v>
      </c>
      <c r="E3" s="151">
        <f t="shared" ref="E3:R3" si="0">E5*E4</f>
        <v>2848.3399999999997</v>
      </c>
      <c r="F3" s="151">
        <f t="shared" si="0"/>
        <v>5395.2800000000007</v>
      </c>
      <c r="G3" s="151">
        <f t="shared" si="0"/>
        <v>3520</v>
      </c>
      <c r="H3" s="151">
        <f t="shared" si="0"/>
        <v>5305.5199999999995</v>
      </c>
      <c r="I3" s="151">
        <f t="shared" si="0"/>
        <v>0</v>
      </c>
      <c r="J3" s="151">
        <f>J5*J4</f>
        <v>3945.7</v>
      </c>
      <c r="K3" s="151">
        <f t="shared" si="0"/>
        <v>4839.12</v>
      </c>
      <c r="L3" s="151">
        <f t="shared" si="0"/>
        <v>6310.26</v>
      </c>
      <c r="M3" s="151">
        <f t="shared" si="0"/>
        <v>4351.82</v>
      </c>
      <c r="N3" s="151">
        <f t="shared" si="0"/>
        <v>4786.32</v>
      </c>
      <c r="O3" s="151">
        <f t="shared" si="0"/>
        <v>5145.3600000000006</v>
      </c>
      <c r="P3" s="151">
        <f t="shared" si="0"/>
        <v>0</v>
      </c>
      <c r="Q3" s="151">
        <f t="shared" si="0"/>
        <v>5720</v>
      </c>
      <c r="R3" s="151">
        <f t="shared" si="0"/>
        <v>5355.02</v>
      </c>
      <c r="S3" s="151">
        <f>SUM(D3:R3)</f>
        <v>57522.740000000005</v>
      </c>
    </row>
    <row r="4" spans="1:20" s="149" customFormat="1">
      <c r="A4" s="145"/>
      <c r="B4" s="150" t="s">
        <v>405</v>
      </c>
      <c r="C4" s="152"/>
      <c r="D4" s="151"/>
      <c r="E4" s="151">
        <v>12.946999999999999</v>
      </c>
      <c r="F4" s="151">
        <v>24.524000000000001</v>
      </c>
      <c r="G4" s="153">
        <v>16</v>
      </c>
      <c r="H4" s="151">
        <v>24.116</v>
      </c>
      <c r="I4" s="151"/>
      <c r="J4" s="154">
        <v>17.934999999999999</v>
      </c>
      <c r="K4" s="151">
        <v>21.995999999999999</v>
      </c>
      <c r="L4" s="151">
        <v>28.683</v>
      </c>
      <c r="M4" s="151">
        <v>19.780999999999999</v>
      </c>
      <c r="N4" s="151">
        <v>21.756</v>
      </c>
      <c r="O4" s="151">
        <v>23.388000000000002</v>
      </c>
      <c r="P4" s="153"/>
      <c r="Q4" s="151">
        <v>26</v>
      </c>
      <c r="R4" s="155">
        <v>24.341000000000001</v>
      </c>
      <c r="S4" s="151">
        <f>SUM(D4:R4)</f>
        <v>261.46699999999998</v>
      </c>
    </row>
    <row r="5" spans="1:20" s="149" customFormat="1">
      <c r="A5" s="145"/>
      <c r="B5" s="152" t="s">
        <v>377</v>
      </c>
      <c r="C5" s="152"/>
      <c r="D5" s="153">
        <v>220</v>
      </c>
      <c r="E5" s="153">
        <v>220</v>
      </c>
      <c r="F5" s="153">
        <v>220</v>
      </c>
      <c r="G5" s="153">
        <v>220</v>
      </c>
      <c r="H5" s="153">
        <v>220</v>
      </c>
      <c r="I5" s="153">
        <v>220</v>
      </c>
      <c r="J5" s="153">
        <v>220</v>
      </c>
      <c r="K5" s="153">
        <v>220</v>
      </c>
      <c r="L5" s="153">
        <v>220</v>
      </c>
      <c r="M5" s="153">
        <v>220</v>
      </c>
      <c r="N5" s="153">
        <v>220</v>
      </c>
      <c r="O5" s="153">
        <v>220</v>
      </c>
      <c r="P5" s="153">
        <v>220</v>
      </c>
      <c r="Q5" s="153">
        <v>220</v>
      </c>
      <c r="R5" s="153">
        <v>220</v>
      </c>
      <c r="S5" s="151"/>
    </row>
    <row r="6" spans="1:20" s="149" customFormat="1">
      <c r="A6" s="145"/>
      <c r="B6" s="152" t="s">
        <v>406</v>
      </c>
      <c r="C6" s="152"/>
      <c r="D6" s="151"/>
      <c r="E6" s="151">
        <v>5</v>
      </c>
      <c r="F6" s="151">
        <v>5</v>
      </c>
      <c r="G6" s="153">
        <v>5</v>
      </c>
      <c r="H6" s="151">
        <v>6</v>
      </c>
      <c r="I6" s="151"/>
      <c r="J6" s="154">
        <v>5</v>
      </c>
      <c r="K6" s="151">
        <v>5</v>
      </c>
      <c r="L6" s="151">
        <v>6</v>
      </c>
      <c r="M6" s="151">
        <v>6</v>
      </c>
      <c r="N6" s="151">
        <v>5</v>
      </c>
      <c r="O6" s="151">
        <v>5</v>
      </c>
      <c r="P6" s="153"/>
      <c r="Q6" s="151">
        <v>5</v>
      </c>
      <c r="R6" s="155">
        <v>6</v>
      </c>
      <c r="S6" s="151">
        <f t="shared" ref="S6:S16" si="1">SUM(D6:R6)</f>
        <v>64</v>
      </c>
    </row>
    <row r="7" spans="1:20" s="149" customFormat="1">
      <c r="A7" s="145"/>
      <c r="B7" s="152" t="s">
        <v>407</v>
      </c>
      <c r="C7" s="152"/>
      <c r="D7" s="153" t="e">
        <f>D3/D6</f>
        <v>#DIV/0!</v>
      </c>
      <c r="E7" s="153">
        <f t="shared" ref="E7:R7" si="2">E3/E6</f>
        <v>569.66799999999989</v>
      </c>
      <c r="F7" s="153">
        <f t="shared" si="2"/>
        <v>1079.056</v>
      </c>
      <c r="G7" s="153">
        <f>G3/G6</f>
        <v>704</v>
      </c>
      <c r="H7" s="153">
        <f t="shared" si="2"/>
        <v>884.25333333333322</v>
      </c>
      <c r="I7" s="153" t="e">
        <f t="shared" si="2"/>
        <v>#DIV/0!</v>
      </c>
      <c r="J7" s="153">
        <f t="shared" si="2"/>
        <v>789.14</v>
      </c>
      <c r="K7" s="153">
        <f t="shared" si="2"/>
        <v>967.82399999999996</v>
      </c>
      <c r="L7" s="153">
        <f t="shared" si="2"/>
        <v>1051.71</v>
      </c>
      <c r="M7" s="153">
        <f t="shared" si="2"/>
        <v>725.30333333333328</v>
      </c>
      <c r="N7" s="153">
        <f t="shared" si="2"/>
        <v>957.2639999999999</v>
      </c>
      <c r="O7" s="153">
        <f t="shared" si="2"/>
        <v>1029.0720000000001</v>
      </c>
      <c r="P7" s="153" t="e">
        <f t="shared" si="2"/>
        <v>#DIV/0!</v>
      </c>
      <c r="Q7" s="153">
        <f t="shared" si="2"/>
        <v>1144</v>
      </c>
      <c r="R7" s="153">
        <f t="shared" si="2"/>
        <v>892.50333333333344</v>
      </c>
      <c r="S7" s="151" t="e">
        <f t="shared" si="1"/>
        <v>#DIV/0!</v>
      </c>
    </row>
    <row r="8" spans="1:20">
      <c r="A8" s="113">
        <v>1</v>
      </c>
      <c r="B8" s="156" t="s">
        <v>229</v>
      </c>
      <c r="C8" s="157">
        <v>101475240602</v>
      </c>
      <c r="D8" s="158"/>
      <c r="E8" s="158">
        <v>569</v>
      </c>
      <c r="F8" s="158">
        <v>1101</v>
      </c>
      <c r="G8" s="159">
        <v>704</v>
      </c>
      <c r="H8" s="158">
        <v>951</v>
      </c>
      <c r="I8" s="158"/>
      <c r="J8" s="160">
        <v>848</v>
      </c>
      <c r="K8" s="158">
        <v>1034</v>
      </c>
      <c r="L8" s="158"/>
      <c r="M8" s="158">
        <v>725</v>
      </c>
      <c r="N8" s="158">
        <v>957</v>
      </c>
      <c r="O8" s="158">
        <v>1029</v>
      </c>
      <c r="P8" s="159"/>
      <c r="Q8" s="158">
        <v>1144</v>
      </c>
      <c r="R8" s="161">
        <v>969</v>
      </c>
      <c r="S8" s="158">
        <f t="shared" si="1"/>
        <v>10031</v>
      </c>
      <c r="T8" s="81">
        <f t="shared" ref="T8:T25" si="3">COUNT(D8:R8)</f>
        <v>11</v>
      </c>
    </row>
    <row r="9" spans="1:20">
      <c r="A9" s="113">
        <v>2</v>
      </c>
      <c r="B9" s="156" t="s">
        <v>228</v>
      </c>
      <c r="C9" s="157">
        <v>101492178974</v>
      </c>
      <c r="D9" s="158"/>
      <c r="E9" s="158">
        <v>569</v>
      </c>
      <c r="F9" s="158">
        <v>1101</v>
      </c>
      <c r="G9" s="159">
        <v>704</v>
      </c>
      <c r="H9" s="158">
        <v>951</v>
      </c>
      <c r="I9" s="158"/>
      <c r="J9" s="160">
        <v>848</v>
      </c>
      <c r="K9" s="158">
        <v>1034</v>
      </c>
      <c r="L9" s="158">
        <v>1051</v>
      </c>
      <c r="M9" s="158">
        <v>725</v>
      </c>
      <c r="N9" s="158">
        <v>957</v>
      </c>
      <c r="O9" s="158">
        <v>1029</v>
      </c>
      <c r="P9" s="159"/>
      <c r="Q9" s="158">
        <v>1144</v>
      </c>
      <c r="R9" s="161">
        <v>969</v>
      </c>
      <c r="S9" s="158">
        <f t="shared" si="1"/>
        <v>11082</v>
      </c>
      <c r="T9" s="81">
        <f t="shared" si="3"/>
        <v>12</v>
      </c>
    </row>
    <row r="10" spans="1:20">
      <c r="A10" s="113">
        <v>3</v>
      </c>
      <c r="B10" s="156" t="s">
        <v>215</v>
      </c>
      <c r="C10" s="157">
        <v>101603294918</v>
      </c>
      <c r="D10" s="158"/>
      <c r="E10" s="158"/>
      <c r="F10" s="158"/>
      <c r="G10" s="159">
        <v>704</v>
      </c>
      <c r="H10" s="158">
        <v>951</v>
      </c>
      <c r="I10" s="158"/>
      <c r="J10" s="160">
        <v>848</v>
      </c>
      <c r="K10" s="158">
        <v>1034</v>
      </c>
      <c r="L10" s="158">
        <v>1051</v>
      </c>
      <c r="M10" s="158">
        <v>725</v>
      </c>
      <c r="N10" s="158">
        <v>957</v>
      </c>
      <c r="O10" s="158">
        <v>1029</v>
      </c>
      <c r="P10" s="159"/>
      <c r="Q10" s="158">
        <v>1144</v>
      </c>
      <c r="R10" s="161">
        <v>969</v>
      </c>
      <c r="S10" s="158">
        <f t="shared" si="1"/>
        <v>9412</v>
      </c>
      <c r="T10" s="81">
        <f t="shared" si="3"/>
        <v>10</v>
      </c>
    </row>
    <row r="11" spans="1:20">
      <c r="A11" s="113">
        <v>4</v>
      </c>
      <c r="B11" s="156" t="s">
        <v>199</v>
      </c>
      <c r="C11" s="157">
        <v>101944505682</v>
      </c>
      <c r="D11" s="158"/>
      <c r="E11" s="158">
        <v>569</v>
      </c>
      <c r="F11" s="158">
        <v>1101</v>
      </c>
      <c r="G11" s="159">
        <v>704</v>
      </c>
      <c r="H11" s="158">
        <v>951</v>
      </c>
      <c r="I11" s="158"/>
      <c r="J11" s="160">
        <v>848</v>
      </c>
      <c r="K11" s="158"/>
      <c r="L11" s="158">
        <v>1051</v>
      </c>
      <c r="M11" s="158">
        <v>725</v>
      </c>
      <c r="N11" s="158">
        <v>957</v>
      </c>
      <c r="O11" s="158">
        <v>1029</v>
      </c>
      <c r="P11" s="159"/>
      <c r="Q11" s="158"/>
      <c r="R11" s="161">
        <v>727</v>
      </c>
      <c r="S11" s="158">
        <f t="shared" si="1"/>
        <v>8662</v>
      </c>
      <c r="T11" s="81">
        <f t="shared" si="3"/>
        <v>10</v>
      </c>
    </row>
    <row r="12" spans="1:20">
      <c r="A12" s="113">
        <v>5</v>
      </c>
      <c r="B12" s="156" t="s">
        <v>189</v>
      </c>
      <c r="C12" s="157">
        <v>102052667942</v>
      </c>
      <c r="D12" s="158"/>
      <c r="E12" s="158">
        <v>569</v>
      </c>
      <c r="F12" s="158"/>
      <c r="G12" s="159"/>
      <c r="H12" s="158"/>
      <c r="I12" s="158"/>
      <c r="J12" s="160"/>
      <c r="K12" s="158"/>
      <c r="L12" s="158"/>
      <c r="M12" s="158"/>
      <c r="N12" s="158"/>
      <c r="O12" s="158"/>
      <c r="P12" s="159"/>
      <c r="Q12" s="158">
        <v>1144</v>
      </c>
      <c r="R12" s="161">
        <v>749</v>
      </c>
      <c r="S12" s="158">
        <f t="shared" si="1"/>
        <v>2462</v>
      </c>
      <c r="T12" s="81">
        <f t="shared" si="3"/>
        <v>3</v>
      </c>
    </row>
    <row r="13" spans="1:20">
      <c r="A13" s="113">
        <v>6</v>
      </c>
      <c r="B13" s="156" t="s">
        <v>214</v>
      </c>
      <c r="C13" s="157">
        <v>101826609019</v>
      </c>
      <c r="D13" s="158"/>
      <c r="E13" s="158">
        <v>569</v>
      </c>
      <c r="F13" s="158">
        <v>1101</v>
      </c>
      <c r="G13" s="159">
        <v>704</v>
      </c>
      <c r="H13" s="158">
        <v>951</v>
      </c>
      <c r="I13" s="158"/>
      <c r="J13" s="160"/>
      <c r="K13" s="158"/>
      <c r="L13" s="158">
        <v>1051</v>
      </c>
      <c r="M13" s="158">
        <v>725</v>
      </c>
      <c r="N13" s="158">
        <v>957</v>
      </c>
      <c r="O13" s="158">
        <v>1029</v>
      </c>
      <c r="P13" s="159"/>
      <c r="Q13" s="158">
        <v>1144</v>
      </c>
      <c r="R13" s="161">
        <v>969</v>
      </c>
      <c r="S13" s="158">
        <f t="shared" si="1"/>
        <v>9200</v>
      </c>
      <c r="T13" s="81">
        <f t="shared" si="3"/>
        <v>10</v>
      </c>
    </row>
    <row r="14" spans="1:20">
      <c r="A14" s="113">
        <v>7</v>
      </c>
      <c r="B14" s="162" t="s">
        <v>429</v>
      </c>
      <c r="C14" s="96">
        <v>101951607397</v>
      </c>
      <c r="D14" s="158"/>
      <c r="E14" s="158">
        <v>601</v>
      </c>
      <c r="F14" s="158"/>
      <c r="G14" s="159"/>
      <c r="H14" s="158"/>
      <c r="I14" s="158"/>
      <c r="J14" s="160"/>
      <c r="K14" s="158">
        <v>1034</v>
      </c>
      <c r="L14" s="158">
        <v>1051</v>
      </c>
      <c r="M14" s="158">
        <v>725</v>
      </c>
      <c r="N14" s="158"/>
      <c r="O14" s="158"/>
      <c r="P14" s="159"/>
      <c r="Q14" s="158"/>
      <c r="R14" s="161"/>
      <c r="S14" s="158">
        <f t="shared" si="1"/>
        <v>3411</v>
      </c>
      <c r="T14" s="81">
        <f t="shared" si="3"/>
        <v>4</v>
      </c>
    </row>
    <row r="15" spans="1:20" ht="13.8">
      <c r="A15" s="113">
        <v>12</v>
      </c>
      <c r="B15" s="156" t="s">
        <v>225</v>
      </c>
      <c r="C15" s="127">
        <v>101486099649</v>
      </c>
      <c r="D15" s="158"/>
      <c r="E15" s="158"/>
      <c r="F15" s="158"/>
      <c r="G15" s="159"/>
      <c r="H15" s="158"/>
      <c r="I15" s="158"/>
      <c r="J15" s="160"/>
      <c r="K15" s="158"/>
      <c r="L15" s="158">
        <v>1051</v>
      </c>
      <c r="M15" s="158"/>
      <c r="N15" s="158"/>
      <c r="O15" s="158"/>
      <c r="P15" s="159"/>
      <c r="Q15" s="158"/>
      <c r="R15" s="161"/>
      <c r="S15" s="158">
        <f t="shared" si="1"/>
        <v>1051</v>
      </c>
      <c r="T15" s="81">
        <f t="shared" si="3"/>
        <v>1</v>
      </c>
    </row>
    <row r="16" spans="1:20">
      <c r="A16" s="113">
        <v>8</v>
      </c>
      <c r="B16" s="156" t="s">
        <v>430</v>
      </c>
      <c r="C16" s="96">
        <v>102125816854</v>
      </c>
      <c r="D16" s="158"/>
      <c r="E16" s="158"/>
      <c r="F16" s="158"/>
      <c r="G16" s="159"/>
      <c r="H16" s="158">
        <v>550</v>
      </c>
      <c r="I16" s="158"/>
      <c r="J16" s="160">
        <v>550</v>
      </c>
      <c r="K16" s="158"/>
      <c r="L16" s="158"/>
      <c r="M16" s="158"/>
      <c r="N16" s="158"/>
      <c r="O16" s="158"/>
      <c r="P16" s="159"/>
      <c r="Q16" s="158"/>
      <c r="R16" s="161"/>
      <c r="S16" s="158">
        <f t="shared" si="1"/>
        <v>1100</v>
      </c>
      <c r="T16" s="81">
        <f t="shared" si="3"/>
        <v>2</v>
      </c>
    </row>
    <row r="17" spans="1:20" s="163" customFormat="1">
      <c r="A17" s="118"/>
      <c r="B17" s="119" t="s">
        <v>366</v>
      </c>
      <c r="C17" s="120"/>
      <c r="D17" s="121">
        <f t="shared" ref="D17:S17" si="4">SUM(D8:D16)</f>
        <v>0</v>
      </c>
      <c r="E17" s="121">
        <f t="shared" si="4"/>
        <v>3446</v>
      </c>
      <c r="F17" s="121">
        <f t="shared" si="4"/>
        <v>4404</v>
      </c>
      <c r="G17" s="121">
        <f t="shared" si="4"/>
        <v>3520</v>
      </c>
      <c r="H17" s="121">
        <f t="shared" si="4"/>
        <v>5305</v>
      </c>
      <c r="I17" s="121">
        <f t="shared" si="4"/>
        <v>0</v>
      </c>
      <c r="J17" s="121">
        <f t="shared" si="4"/>
        <v>3942</v>
      </c>
      <c r="K17" s="121">
        <f t="shared" si="4"/>
        <v>4136</v>
      </c>
      <c r="L17" s="121">
        <f t="shared" si="4"/>
        <v>6306</v>
      </c>
      <c r="M17" s="121">
        <f t="shared" si="4"/>
        <v>4350</v>
      </c>
      <c r="N17" s="121">
        <f t="shared" si="4"/>
        <v>4785</v>
      </c>
      <c r="O17" s="121">
        <f t="shared" si="4"/>
        <v>5145</v>
      </c>
      <c r="P17" s="121">
        <f t="shared" si="4"/>
        <v>0</v>
      </c>
      <c r="Q17" s="121">
        <f t="shared" si="4"/>
        <v>5720</v>
      </c>
      <c r="R17" s="121">
        <f t="shared" si="4"/>
        <v>5352</v>
      </c>
      <c r="S17" s="121">
        <f t="shared" si="4"/>
        <v>56411</v>
      </c>
      <c r="T17" s="81">
        <f t="shared" si="3"/>
        <v>15</v>
      </c>
    </row>
    <row r="18" spans="1:20" s="169" customFormat="1">
      <c r="A18" s="164"/>
      <c r="B18" s="165" t="s">
        <v>408</v>
      </c>
      <c r="C18" s="166"/>
      <c r="D18" s="167">
        <f t="shared" ref="D18:R18" si="5">D17-D3</f>
        <v>0</v>
      </c>
      <c r="E18" s="167">
        <f t="shared" si="5"/>
        <v>597.66000000000031</v>
      </c>
      <c r="F18" s="167">
        <f t="shared" si="5"/>
        <v>-991.28000000000065</v>
      </c>
      <c r="G18" s="167">
        <f t="shared" si="5"/>
        <v>0</v>
      </c>
      <c r="H18" s="167">
        <f t="shared" si="5"/>
        <v>-0.51999999999952706</v>
      </c>
      <c r="I18" s="167">
        <f t="shared" si="5"/>
        <v>0</v>
      </c>
      <c r="J18" s="167">
        <f t="shared" si="5"/>
        <v>-3.6999999999998181</v>
      </c>
      <c r="K18" s="167">
        <f t="shared" si="5"/>
        <v>-703.11999999999989</v>
      </c>
      <c r="L18" s="167">
        <f t="shared" si="5"/>
        <v>-4.2600000000002183</v>
      </c>
      <c r="M18" s="167">
        <f t="shared" si="5"/>
        <v>-1.819999999999709</v>
      </c>
      <c r="N18" s="167">
        <f t="shared" si="5"/>
        <v>-1.319999999999709</v>
      </c>
      <c r="O18" s="167">
        <f t="shared" si="5"/>
        <v>-0.36000000000058208</v>
      </c>
      <c r="P18" s="167">
        <f t="shared" si="5"/>
        <v>0</v>
      </c>
      <c r="Q18" s="167">
        <f t="shared" si="5"/>
        <v>0</v>
      </c>
      <c r="R18" s="167">
        <f t="shared" si="5"/>
        <v>-3.0200000000004366</v>
      </c>
      <c r="S18" s="168">
        <f>SUM(D18:R18)</f>
        <v>-1111.7400000000002</v>
      </c>
      <c r="T18" s="81">
        <f t="shared" si="3"/>
        <v>15</v>
      </c>
    </row>
    <row r="19" spans="1:20" s="169" customFormat="1">
      <c r="A19" s="164"/>
      <c r="B19" s="170" t="s">
        <v>404</v>
      </c>
      <c r="C19" s="166"/>
      <c r="D19" s="168">
        <f>D21*D20</f>
        <v>0</v>
      </c>
      <c r="E19" s="168">
        <f t="shared" ref="E19:R19" si="6">E21*E20</f>
        <v>3335.2</v>
      </c>
      <c r="F19" s="168">
        <f t="shared" si="6"/>
        <v>0</v>
      </c>
      <c r="G19" s="168">
        <f t="shared" si="6"/>
        <v>5486.8</v>
      </c>
      <c r="H19" s="168">
        <f t="shared" si="6"/>
        <v>3778.5</v>
      </c>
      <c r="I19" s="168">
        <f t="shared" si="6"/>
        <v>0</v>
      </c>
      <c r="J19" s="168">
        <f t="shared" si="6"/>
        <v>8633.9</v>
      </c>
      <c r="K19" s="168">
        <f t="shared" si="6"/>
        <v>4591.4000000000005</v>
      </c>
      <c r="L19" s="168">
        <f t="shared" si="6"/>
        <v>4540.3600000000006</v>
      </c>
      <c r="M19" s="168">
        <f t="shared" si="6"/>
        <v>6306.52</v>
      </c>
      <c r="N19" s="168">
        <f t="shared" si="6"/>
        <v>5762.9</v>
      </c>
      <c r="O19" s="168">
        <f t="shared" si="6"/>
        <v>0</v>
      </c>
      <c r="P19" s="168">
        <f t="shared" si="6"/>
        <v>0</v>
      </c>
      <c r="Q19" s="168">
        <f t="shared" si="6"/>
        <v>0</v>
      </c>
      <c r="R19" s="168">
        <f t="shared" si="6"/>
        <v>0</v>
      </c>
      <c r="S19" s="168">
        <f>SUM(D19:R19)</f>
        <v>42435.580000000009</v>
      </c>
      <c r="T19" s="81">
        <f t="shared" si="3"/>
        <v>15</v>
      </c>
    </row>
    <row r="20" spans="1:20" s="169" customFormat="1">
      <c r="A20" s="164"/>
      <c r="B20" s="170" t="s">
        <v>405</v>
      </c>
      <c r="C20" s="171"/>
      <c r="D20" s="151"/>
      <c r="E20" s="151">
        <v>15.16</v>
      </c>
      <c r="F20" s="151"/>
      <c r="G20" s="153">
        <v>24.94</v>
      </c>
      <c r="H20" s="151">
        <v>17.175000000000001</v>
      </c>
      <c r="I20" s="151"/>
      <c r="J20" s="154">
        <v>39.244999999999997</v>
      </c>
      <c r="K20" s="151">
        <v>20.87</v>
      </c>
      <c r="L20" s="151">
        <v>20.638000000000002</v>
      </c>
      <c r="M20" s="151">
        <v>28.666</v>
      </c>
      <c r="N20" s="151">
        <v>26.195</v>
      </c>
      <c r="O20" s="151"/>
      <c r="P20" s="153"/>
      <c r="Q20" s="151"/>
      <c r="R20" s="155"/>
      <c r="S20" s="168">
        <f>SUM(D20:R20)</f>
        <v>192.88900000000001</v>
      </c>
      <c r="T20" s="81">
        <f t="shared" si="3"/>
        <v>8</v>
      </c>
    </row>
    <row r="21" spans="1:20" s="169" customFormat="1">
      <c r="A21" s="164"/>
      <c r="B21" s="171" t="s">
        <v>377</v>
      </c>
      <c r="C21" s="166"/>
      <c r="D21" s="172">
        <v>220</v>
      </c>
      <c r="E21" s="172">
        <v>220</v>
      </c>
      <c r="F21" s="172">
        <v>220</v>
      </c>
      <c r="G21" s="172">
        <v>220</v>
      </c>
      <c r="H21" s="172">
        <v>220</v>
      </c>
      <c r="I21" s="172">
        <v>220</v>
      </c>
      <c r="J21" s="172">
        <v>220</v>
      </c>
      <c r="K21" s="172">
        <v>220</v>
      </c>
      <c r="L21" s="172">
        <v>220</v>
      </c>
      <c r="M21" s="172">
        <v>220</v>
      </c>
      <c r="N21" s="172">
        <v>220</v>
      </c>
      <c r="O21" s="172">
        <v>220</v>
      </c>
      <c r="P21" s="172">
        <v>220</v>
      </c>
      <c r="Q21" s="172">
        <v>220</v>
      </c>
      <c r="R21" s="172">
        <v>220</v>
      </c>
      <c r="S21" s="168"/>
      <c r="T21" s="81">
        <f t="shared" si="3"/>
        <v>15</v>
      </c>
    </row>
    <row r="22" spans="1:20" s="169" customFormat="1">
      <c r="A22" s="164"/>
      <c r="B22" s="171" t="s">
        <v>406</v>
      </c>
      <c r="C22" s="171"/>
      <c r="D22" s="151"/>
      <c r="E22" s="151">
        <v>5</v>
      </c>
      <c r="F22" s="151"/>
      <c r="G22" s="153">
        <v>5</v>
      </c>
      <c r="H22" s="151">
        <v>5</v>
      </c>
      <c r="I22" s="151"/>
      <c r="J22" s="154">
        <v>5</v>
      </c>
      <c r="K22" s="151">
        <v>6</v>
      </c>
      <c r="L22" s="151">
        <v>6</v>
      </c>
      <c r="M22" s="151">
        <v>5</v>
      </c>
      <c r="N22" s="151">
        <v>5</v>
      </c>
      <c r="O22" s="151"/>
      <c r="P22" s="153"/>
      <c r="Q22" s="151"/>
      <c r="R22" s="155"/>
      <c r="S22" s="168">
        <f t="shared" ref="S22:S29" si="7">SUM(D22:R22)</f>
        <v>42</v>
      </c>
      <c r="T22" s="81">
        <f t="shared" si="3"/>
        <v>8</v>
      </c>
    </row>
    <row r="23" spans="1:20" s="169" customFormat="1">
      <c r="A23" s="164"/>
      <c r="B23" s="171" t="s">
        <v>407</v>
      </c>
      <c r="C23" s="166"/>
      <c r="D23" s="172" t="e">
        <f>D19/D22</f>
        <v>#DIV/0!</v>
      </c>
      <c r="E23" s="172">
        <f t="shared" ref="E23:R23" si="8">E19/E22</f>
        <v>667.04</v>
      </c>
      <c r="F23" s="172" t="e">
        <f t="shared" si="8"/>
        <v>#DIV/0!</v>
      </c>
      <c r="G23" s="172">
        <f t="shared" si="8"/>
        <v>1097.3600000000001</v>
      </c>
      <c r="H23" s="172">
        <f t="shared" si="8"/>
        <v>755.7</v>
      </c>
      <c r="I23" s="172" t="e">
        <f t="shared" si="8"/>
        <v>#DIV/0!</v>
      </c>
      <c r="J23" s="172">
        <f t="shared" si="8"/>
        <v>1726.78</v>
      </c>
      <c r="K23" s="172">
        <f t="shared" si="8"/>
        <v>765.23333333333346</v>
      </c>
      <c r="L23" s="172">
        <f t="shared" si="8"/>
        <v>756.7266666666668</v>
      </c>
      <c r="M23" s="172">
        <f t="shared" si="8"/>
        <v>1261.3040000000001</v>
      </c>
      <c r="N23" s="172">
        <f t="shared" si="8"/>
        <v>1152.58</v>
      </c>
      <c r="O23" s="172" t="e">
        <f t="shared" si="8"/>
        <v>#DIV/0!</v>
      </c>
      <c r="P23" s="172" t="e">
        <f t="shared" si="8"/>
        <v>#DIV/0!</v>
      </c>
      <c r="Q23" s="172" t="e">
        <f t="shared" si="8"/>
        <v>#DIV/0!</v>
      </c>
      <c r="R23" s="172" t="e">
        <f t="shared" si="8"/>
        <v>#DIV/0!</v>
      </c>
      <c r="S23" s="168" t="e">
        <f t="shared" si="7"/>
        <v>#DIV/0!</v>
      </c>
      <c r="T23" s="81">
        <f t="shared" si="3"/>
        <v>8</v>
      </c>
    </row>
    <row r="24" spans="1:20">
      <c r="A24" s="113">
        <v>1</v>
      </c>
      <c r="B24" s="91" t="s">
        <v>419</v>
      </c>
      <c r="C24" s="91" t="s">
        <v>419</v>
      </c>
      <c r="D24" s="158"/>
      <c r="E24" s="158"/>
      <c r="F24" s="158"/>
      <c r="G24" s="159"/>
      <c r="H24" s="158"/>
      <c r="I24" s="158"/>
      <c r="J24" s="160">
        <v>1374</v>
      </c>
      <c r="K24" s="158">
        <v>673</v>
      </c>
      <c r="L24" s="158">
        <v>756</v>
      </c>
      <c r="M24" s="158"/>
      <c r="N24" s="158"/>
      <c r="O24" s="158"/>
      <c r="P24" s="159"/>
      <c r="Q24" s="158"/>
      <c r="R24" s="161"/>
      <c r="S24" s="158">
        <f t="shared" si="7"/>
        <v>2803</v>
      </c>
      <c r="T24" s="81">
        <f t="shared" si="3"/>
        <v>3</v>
      </c>
    </row>
    <row r="25" spans="1:20">
      <c r="A25" s="113">
        <v>2</v>
      </c>
      <c r="B25" s="156" t="s">
        <v>218</v>
      </c>
      <c r="C25" s="157">
        <v>101818174092</v>
      </c>
      <c r="D25" s="158"/>
      <c r="E25" s="158">
        <v>661</v>
      </c>
      <c r="F25" s="158">
        <v>550</v>
      </c>
      <c r="G25" s="159">
        <v>1097</v>
      </c>
      <c r="H25" s="158">
        <v>755</v>
      </c>
      <c r="I25" s="158"/>
      <c r="J25" s="160"/>
      <c r="K25" s="158">
        <v>789</v>
      </c>
      <c r="L25" s="158">
        <v>756</v>
      </c>
      <c r="M25" s="158">
        <v>1261</v>
      </c>
      <c r="N25" s="158">
        <v>1152</v>
      </c>
      <c r="O25" s="158"/>
      <c r="P25" s="159"/>
      <c r="Q25" s="158"/>
      <c r="R25" s="161"/>
      <c r="S25" s="158">
        <f t="shared" si="7"/>
        <v>7021</v>
      </c>
      <c r="T25" s="81">
        <f t="shared" si="3"/>
        <v>8</v>
      </c>
    </row>
    <row r="26" spans="1:20">
      <c r="A26" s="113">
        <v>3</v>
      </c>
      <c r="B26" s="156" t="s">
        <v>198</v>
      </c>
      <c r="C26" s="157">
        <v>102004077854</v>
      </c>
      <c r="D26" s="158"/>
      <c r="E26" s="158">
        <v>661</v>
      </c>
      <c r="F26" s="158">
        <v>550</v>
      </c>
      <c r="G26" s="159">
        <v>1097</v>
      </c>
      <c r="H26" s="158">
        <v>755</v>
      </c>
      <c r="I26" s="158"/>
      <c r="J26" s="160">
        <v>1814</v>
      </c>
      <c r="K26" s="158">
        <v>789</v>
      </c>
      <c r="L26" s="158">
        <v>756</v>
      </c>
      <c r="M26" s="158">
        <v>1261</v>
      </c>
      <c r="N26" s="158">
        <v>1152</v>
      </c>
      <c r="O26" s="158"/>
      <c r="P26" s="159"/>
      <c r="Q26" s="158"/>
      <c r="R26" s="161"/>
      <c r="S26" s="158">
        <f t="shared" si="7"/>
        <v>8835</v>
      </c>
      <c r="T26" s="194">
        <f>COUNT(D26:R26)+1</f>
        <v>10</v>
      </c>
    </row>
    <row r="27" spans="1:20">
      <c r="A27" s="113">
        <v>4</v>
      </c>
      <c r="B27" s="156" t="s">
        <v>193</v>
      </c>
      <c r="C27" s="157">
        <v>101817173110</v>
      </c>
      <c r="D27" s="158"/>
      <c r="E27" s="158">
        <v>661</v>
      </c>
      <c r="F27" s="158">
        <f>990+550</f>
        <v>1540</v>
      </c>
      <c r="G27" s="159">
        <v>1097</v>
      </c>
      <c r="H27" s="158">
        <v>755</v>
      </c>
      <c r="I27" s="158"/>
      <c r="J27" s="160">
        <v>1814</v>
      </c>
      <c r="K27" s="158">
        <f>703+789</f>
        <v>1492</v>
      </c>
      <c r="L27" s="158">
        <v>756</v>
      </c>
      <c r="M27" s="158">
        <v>1261</v>
      </c>
      <c r="N27" s="158">
        <v>1152</v>
      </c>
      <c r="O27" s="158"/>
      <c r="P27" s="159"/>
      <c r="Q27" s="158"/>
      <c r="R27" s="161"/>
      <c r="S27" s="158">
        <f t="shared" si="7"/>
        <v>10528</v>
      </c>
      <c r="T27" s="81">
        <f t="shared" ref="T27:T36" si="9">COUNT(D27:R27)</f>
        <v>9</v>
      </c>
    </row>
    <row r="28" spans="1:20">
      <c r="A28" s="113">
        <v>5</v>
      </c>
      <c r="B28" s="156" t="s">
        <v>175</v>
      </c>
      <c r="C28" s="157">
        <v>102120964651</v>
      </c>
      <c r="D28" s="158"/>
      <c r="E28" s="158">
        <v>661</v>
      </c>
      <c r="F28" s="158">
        <v>550</v>
      </c>
      <c r="G28" s="159">
        <v>1097</v>
      </c>
      <c r="H28" s="158">
        <v>755</v>
      </c>
      <c r="I28" s="158"/>
      <c r="J28" s="160">
        <v>1814</v>
      </c>
      <c r="K28" s="158">
        <v>789</v>
      </c>
      <c r="L28" s="158">
        <v>756</v>
      </c>
      <c r="M28" s="158">
        <v>1261</v>
      </c>
      <c r="N28" s="158">
        <v>1152</v>
      </c>
      <c r="O28" s="158"/>
      <c r="P28" s="159"/>
      <c r="Q28" s="158"/>
      <c r="R28" s="161"/>
      <c r="S28" s="158">
        <f t="shared" si="7"/>
        <v>8835</v>
      </c>
      <c r="T28" s="81">
        <f t="shared" si="9"/>
        <v>9</v>
      </c>
    </row>
    <row r="29" spans="1:20">
      <c r="A29" s="113">
        <v>6</v>
      </c>
      <c r="B29" s="156" t="s">
        <v>177</v>
      </c>
      <c r="C29" s="173">
        <v>101432431093</v>
      </c>
      <c r="D29" s="158"/>
      <c r="E29" s="158">
        <v>661</v>
      </c>
      <c r="F29" s="158">
        <v>550</v>
      </c>
      <c r="G29" s="159">
        <v>1097</v>
      </c>
      <c r="H29" s="158">
        <v>755</v>
      </c>
      <c r="I29" s="158"/>
      <c r="J29" s="160">
        <v>1814</v>
      </c>
      <c r="K29" s="158">
        <v>789</v>
      </c>
      <c r="L29" s="158">
        <v>756</v>
      </c>
      <c r="M29" s="158">
        <v>1261</v>
      </c>
      <c r="N29" s="158">
        <v>1152</v>
      </c>
      <c r="O29" s="158"/>
      <c r="P29" s="159"/>
      <c r="Q29" s="158"/>
      <c r="R29" s="161"/>
      <c r="S29" s="158">
        <f t="shared" si="7"/>
        <v>8835</v>
      </c>
      <c r="T29" s="81">
        <f t="shared" si="9"/>
        <v>9</v>
      </c>
    </row>
    <row r="30" spans="1:20" s="163" customFormat="1">
      <c r="A30" s="118"/>
      <c r="B30" s="119" t="s">
        <v>366</v>
      </c>
      <c r="C30" s="120"/>
      <c r="D30" s="121">
        <f t="shared" ref="D30:S30" si="10">SUM(D24:D29)</f>
        <v>0</v>
      </c>
      <c r="E30" s="121">
        <f t="shared" si="10"/>
        <v>3305</v>
      </c>
      <c r="F30" s="121">
        <f t="shared" si="10"/>
        <v>3740</v>
      </c>
      <c r="G30" s="121">
        <f t="shared" si="10"/>
        <v>5485</v>
      </c>
      <c r="H30" s="121">
        <f t="shared" si="10"/>
        <v>3775</v>
      </c>
      <c r="I30" s="121">
        <f t="shared" si="10"/>
        <v>0</v>
      </c>
      <c r="J30" s="121">
        <f t="shared" si="10"/>
        <v>8630</v>
      </c>
      <c r="K30" s="121">
        <f t="shared" si="10"/>
        <v>5321</v>
      </c>
      <c r="L30" s="121">
        <f t="shared" si="10"/>
        <v>4536</v>
      </c>
      <c r="M30" s="121">
        <f t="shared" si="10"/>
        <v>6305</v>
      </c>
      <c r="N30" s="121">
        <f t="shared" si="10"/>
        <v>5760</v>
      </c>
      <c r="O30" s="121">
        <f t="shared" si="10"/>
        <v>0</v>
      </c>
      <c r="P30" s="121">
        <f t="shared" si="10"/>
        <v>0</v>
      </c>
      <c r="Q30" s="121">
        <f t="shared" si="10"/>
        <v>0</v>
      </c>
      <c r="R30" s="121">
        <f t="shared" si="10"/>
        <v>0</v>
      </c>
      <c r="S30" s="121">
        <f t="shared" si="10"/>
        <v>46857</v>
      </c>
      <c r="T30" s="81">
        <f t="shared" si="9"/>
        <v>15</v>
      </c>
    </row>
    <row r="31" spans="1:20" s="179" customFormat="1">
      <c r="A31" s="174"/>
      <c r="B31" s="175" t="s">
        <v>410</v>
      </c>
      <c r="C31" s="176"/>
      <c r="D31" s="177">
        <f t="shared" ref="D31:R31" si="11">D30-D19</f>
        <v>0</v>
      </c>
      <c r="E31" s="177">
        <f t="shared" si="11"/>
        <v>-30.199999999999818</v>
      </c>
      <c r="F31" s="177">
        <f t="shared" si="11"/>
        <v>3740</v>
      </c>
      <c r="G31" s="177">
        <f t="shared" si="11"/>
        <v>-1.8000000000001819</v>
      </c>
      <c r="H31" s="177">
        <f t="shared" si="11"/>
        <v>-3.5</v>
      </c>
      <c r="I31" s="177">
        <f t="shared" si="11"/>
        <v>0</v>
      </c>
      <c r="J31" s="177">
        <f t="shared" si="11"/>
        <v>-3.8999999999996362</v>
      </c>
      <c r="K31" s="177">
        <f t="shared" si="11"/>
        <v>729.59999999999945</v>
      </c>
      <c r="L31" s="177">
        <f t="shared" si="11"/>
        <v>-4.3600000000005821</v>
      </c>
      <c r="M31" s="177">
        <f t="shared" si="11"/>
        <v>-1.5200000000004366</v>
      </c>
      <c r="N31" s="177">
        <f t="shared" si="11"/>
        <v>-2.8999999999996362</v>
      </c>
      <c r="O31" s="177">
        <f t="shared" si="11"/>
        <v>0</v>
      </c>
      <c r="P31" s="177">
        <f t="shared" si="11"/>
        <v>0</v>
      </c>
      <c r="Q31" s="177">
        <f t="shared" si="11"/>
        <v>0</v>
      </c>
      <c r="R31" s="177">
        <f t="shared" si="11"/>
        <v>0</v>
      </c>
      <c r="S31" s="178">
        <f>SUM(D31:R31)</f>
        <v>4421.4199999999992</v>
      </c>
      <c r="T31" s="81">
        <f t="shared" si="9"/>
        <v>15</v>
      </c>
    </row>
    <row r="32" spans="1:20" s="179" customFormat="1">
      <c r="A32" s="174"/>
      <c r="B32" s="175" t="s">
        <v>404</v>
      </c>
      <c r="C32" s="176"/>
      <c r="D32" s="178">
        <f>D33*D34</f>
        <v>0</v>
      </c>
      <c r="E32" s="178">
        <f t="shared" ref="E32:R32" si="12">E33*E34</f>
        <v>3007.3599999999997</v>
      </c>
      <c r="F32" s="178">
        <f t="shared" si="12"/>
        <v>7406.72</v>
      </c>
      <c r="G32" s="178">
        <f t="shared" si="12"/>
        <v>6368.32</v>
      </c>
      <c r="H32" s="178">
        <f t="shared" si="12"/>
        <v>7246.4</v>
      </c>
      <c r="I32" s="178">
        <f t="shared" si="12"/>
        <v>0</v>
      </c>
      <c r="J32" s="178">
        <f t="shared" si="12"/>
        <v>4467.84</v>
      </c>
      <c r="K32" s="178">
        <f t="shared" si="12"/>
        <v>7779.2</v>
      </c>
      <c r="L32" s="178">
        <f t="shared" si="12"/>
        <v>7536</v>
      </c>
      <c r="M32" s="178">
        <f t="shared" si="12"/>
        <v>6662.4</v>
      </c>
      <c r="N32" s="178">
        <f t="shared" si="12"/>
        <v>5726.72</v>
      </c>
      <c r="O32" s="178">
        <f t="shared" si="12"/>
        <v>4979.5200000000004</v>
      </c>
      <c r="P32" s="178">
        <f t="shared" si="12"/>
        <v>0</v>
      </c>
      <c r="Q32" s="178">
        <f t="shared" si="12"/>
        <v>7190.4</v>
      </c>
      <c r="R32" s="178">
        <f t="shared" si="12"/>
        <v>7420.48</v>
      </c>
      <c r="S32" s="178">
        <f>SUM(D32:R32)</f>
        <v>75791.360000000001</v>
      </c>
      <c r="T32" s="81">
        <f t="shared" si="9"/>
        <v>15</v>
      </c>
    </row>
    <row r="33" spans="1:20" s="179" customFormat="1">
      <c r="A33" s="174"/>
      <c r="B33" s="175" t="s">
        <v>405</v>
      </c>
      <c r="C33" s="180"/>
      <c r="D33" s="151"/>
      <c r="E33" s="151">
        <v>9.3979999999999997</v>
      </c>
      <c r="F33" s="151">
        <v>23.146000000000001</v>
      </c>
      <c r="G33" s="153">
        <v>19.901</v>
      </c>
      <c r="H33" s="151">
        <v>22.645</v>
      </c>
      <c r="I33" s="151"/>
      <c r="J33" s="154">
        <v>13.962</v>
      </c>
      <c r="K33" s="151">
        <v>24.31</v>
      </c>
      <c r="L33" s="151">
        <v>23.55</v>
      </c>
      <c r="M33" s="151">
        <v>20.82</v>
      </c>
      <c r="N33" s="151">
        <v>17.896000000000001</v>
      </c>
      <c r="O33" s="151">
        <v>15.561</v>
      </c>
      <c r="P33" s="153"/>
      <c r="Q33" s="151">
        <v>22.47</v>
      </c>
      <c r="R33" s="155">
        <v>23.189</v>
      </c>
      <c r="S33" s="178">
        <f>SUM(D33:R33)</f>
        <v>236.84799999999998</v>
      </c>
      <c r="T33" s="81">
        <f t="shared" si="9"/>
        <v>12</v>
      </c>
    </row>
    <row r="34" spans="1:20" s="179" customFormat="1">
      <c r="A34" s="174"/>
      <c r="B34" s="175" t="s">
        <v>377</v>
      </c>
      <c r="C34" s="176"/>
      <c r="D34" s="181">
        <v>320</v>
      </c>
      <c r="E34" s="181">
        <v>320</v>
      </c>
      <c r="F34" s="181">
        <v>320</v>
      </c>
      <c r="G34" s="181">
        <v>320</v>
      </c>
      <c r="H34" s="181">
        <v>320</v>
      </c>
      <c r="I34" s="181">
        <v>320</v>
      </c>
      <c r="J34" s="181">
        <v>320</v>
      </c>
      <c r="K34" s="181">
        <v>320</v>
      </c>
      <c r="L34" s="181">
        <v>320</v>
      </c>
      <c r="M34" s="181">
        <v>320</v>
      </c>
      <c r="N34" s="181">
        <v>320</v>
      </c>
      <c r="O34" s="181">
        <v>320</v>
      </c>
      <c r="P34" s="181">
        <v>320</v>
      </c>
      <c r="Q34" s="181">
        <v>320</v>
      </c>
      <c r="R34" s="181">
        <v>320</v>
      </c>
      <c r="S34" s="178"/>
      <c r="T34" s="81">
        <f t="shared" si="9"/>
        <v>15</v>
      </c>
    </row>
    <row r="35" spans="1:20" s="179" customFormat="1">
      <c r="A35" s="174"/>
      <c r="B35" s="180" t="s">
        <v>406</v>
      </c>
      <c r="C35" s="180"/>
      <c r="D35" s="151"/>
      <c r="E35" s="151">
        <v>5</v>
      </c>
      <c r="F35" s="151">
        <v>7</v>
      </c>
      <c r="G35" s="153">
        <v>7</v>
      </c>
      <c r="H35" s="151">
        <v>8</v>
      </c>
      <c r="I35" s="151"/>
      <c r="J35" s="154">
        <v>7</v>
      </c>
      <c r="K35" s="151">
        <v>7</v>
      </c>
      <c r="L35" s="151">
        <v>7</v>
      </c>
      <c r="M35" s="151">
        <v>8</v>
      </c>
      <c r="N35" s="151">
        <v>8</v>
      </c>
      <c r="O35" s="151">
        <v>8</v>
      </c>
      <c r="P35" s="153"/>
      <c r="Q35" s="151">
        <v>7</v>
      </c>
      <c r="R35" s="155">
        <v>7</v>
      </c>
      <c r="S35" s="178">
        <f t="shared" ref="S35:S47" si="13">SUM(D35:R35)</f>
        <v>86</v>
      </c>
      <c r="T35" s="81">
        <f t="shared" si="9"/>
        <v>12</v>
      </c>
    </row>
    <row r="36" spans="1:20" s="179" customFormat="1">
      <c r="A36" s="174"/>
      <c r="B36" s="180" t="s">
        <v>407</v>
      </c>
      <c r="C36" s="176"/>
      <c r="D36" s="181" t="e">
        <f t="shared" ref="D36:R36" si="14">D32/D35</f>
        <v>#DIV/0!</v>
      </c>
      <c r="E36" s="181">
        <f t="shared" si="14"/>
        <v>601.47199999999998</v>
      </c>
      <c r="F36" s="181">
        <f t="shared" si="14"/>
        <v>1058.1028571428571</v>
      </c>
      <c r="G36" s="181">
        <f t="shared" si="14"/>
        <v>909.76</v>
      </c>
      <c r="H36" s="181">
        <f t="shared" si="14"/>
        <v>905.8</v>
      </c>
      <c r="I36" s="181" t="e">
        <f t="shared" si="14"/>
        <v>#DIV/0!</v>
      </c>
      <c r="J36" s="181">
        <f t="shared" si="14"/>
        <v>638.26285714285711</v>
      </c>
      <c r="K36" s="181">
        <f t="shared" si="14"/>
        <v>1111.3142857142857</v>
      </c>
      <c r="L36" s="181">
        <f t="shared" si="14"/>
        <v>1076.5714285714287</v>
      </c>
      <c r="M36" s="181">
        <f t="shared" si="14"/>
        <v>832.8</v>
      </c>
      <c r="N36" s="181">
        <f t="shared" si="14"/>
        <v>715.84</v>
      </c>
      <c r="O36" s="181">
        <f t="shared" si="14"/>
        <v>622.44000000000005</v>
      </c>
      <c r="P36" s="181" t="e">
        <f t="shared" si="14"/>
        <v>#DIV/0!</v>
      </c>
      <c r="Q36" s="181">
        <f t="shared" si="14"/>
        <v>1027.2</v>
      </c>
      <c r="R36" s="181">
        <f t="shared" si="14"/>
        <v>1060.0685714285714</v>
      </c>
      <c r="S36" s="178" t="e">
        <f t="shared" si="13"/>
        <v>#DIV/0!</v>
      </c>
      <c r="T36" s="81">
        <f t="shared" si="9"/>
        <v>12</v>
      </c>
    </row>
    <row r="37" spans="1:20">
      <c r="A37" s="113">
        <v>1</v>
      </c>
      <c r="B37" s="156" t="s">
        <v>232</v>
      </c>
      <c r="C37" s="157">
        <v>101407413648</v>
      </c>
      <c r="D37" s="158"/>
      <c r="E37" s="158"/>
      <c r="F37" s="158">
        <f>823+959</f>
        <v>1782</v>
      </c>
      <c r="G37" s="159">
        <v>846</v>
      </c>
      <c r="H37" s="158">
        <v>905</v>
      </c>
      <c r="I37" s="158"/>
      <c r="J37" s="160">
        <v>638</v>
      </c>
      <c r="K37" s="158">
        <v>1109</v>
      </c>
      <c r="L37" s="158">
        <v>1005</v>
      </c>
      <c r="M37" s="158">
        <v>832</v>
      </c>
      <c r="N37" s="158">
        <v>716</v>
      </c>
      <c r="O37" s="158">
        <v>622</v>
      </c>
      <c r="P37" s="159"/>
      <c r="Q37" s="158">
        <v>1104</v>
      </c>
      <c r="R37" s="161">
        <v>1126</v>
      </c>
      <c r="S37" s="158">
        <f t="shared" si="13"/>
        <v>10685</v>
      </c>
      <c r="T37" s="194">
        <f>COUNT(D37:R37)+1</f>
        <v>12</v>
      </c>
    </row>
    <row r="38" spans="1:20">
      <c r="A38" s="113">
        <v>2</v>
      </c>
      <c r="B38" s="156" t="s">
        <v>224</v>
      </c>
      <c r="C38" s="157">
        <v>101373078654</v>
      </c>
      <c r="D38" s="158"/>
      <c r="E38" s="158"/>
      <c r="F38" s="158">
        <v>959</v>
      </c>
      <c r="G38" s="159">
        <v>443</v>
      </c>
      <c r="H38" s="158">
        <v>905</v>
      </c>
      <c r="I38" s="158"/>
      <c r="J38" s="160">
        <v>638</v>
      </c>
      <c r="K38" s="158">
        <v>1109</v>
      </c>
      <c r="L38" s="158">
        <v>1005</v>
      </c>
      <c r="M38" s="158">
        <v>832</v>
      </c>
      <c r="N38" s="158">
        <v>716</v>
      </c>
      <c r="O38" s="158">
        <v>622</v>
      </c>
      <c r="P38" s="159"/>
      <c r="Q38" s="158">
        <v>1104</v>
      </c>
      <c r="R38" s="161">
        <v>1126</v>
      </c>
      <c r="S38" s="158">
        <f t="shared" si="13"/>
        <v>9459</v>
      </c>
      <c r="T38" s="81">
        <f t="shared" ref="T38:T63" si="15">COUNT(D38:R38)</f>
        <v>11</v>
      </c>
    </row>
    <row r="39" spans="1:20">
      <c r="A39" s="113">
        <v>3</v>
      </c>
      <c r="B39" s="156" t="s">
        <v>231</v>
      </c>
      <c r="C39" s="157">
        <v>101391642731</v>
      </c>
      <c r="D39" s="158"/>
      <c r="E39" s="158"/>
      <c r="F39" s="158">
        <v>959</v>
      </c>
      <c r="G39" s="159">
        <v>846</v>
      </c>
      <c r="H39" s="158">
        <v>905</v>
      </c>
      <c r="I39" s="158"/>
      <c r="J39" s="160"/>
      <c r="K39" s="158">
        <v>1109</v>
      </c>
      <c r="L39" s="158">
        <v>1005</v>
      </c>
      <c r="M39" s="158">
        <v>832</v>
      </c>
      <c r="N39" s="158">
        <v>716</v>
      </c>
      <c r="O39" s="158">
        <v>622</v>
      </c>
      <c r="P39" s="159"/>
      <c r="Q39" s="158">
        <v>1104</v>
      </c>
      <c r="R39" s="161">
        <v>1126</v>
      </c>
      <c r="S39" s="158">
        <f t="shared" si="13"/>
        <v>9224</v>
      </c>
      <c r="T39" s="81">
        <f t="shared" si="15"/>
        <v>10</v>
      </c>
    </row>
    <row r="40" spans="1:20">
      <c r="A40" s="113">
        <v>4</v>
      </c>
      <c r="B40" s="156" t="s">
        <v>230</v>
      </c>
      <c r="C40" s="157">
        <v>101475170616</v>
      </c>
      <c r="D40" s="158"/>
      <c r="E40" s="158"/>
      <c r="F40" s="158">
        <v>959</v>
      </c>
      <c r="G40" s="159">
        <v>846</v>
      </c>
      <c r="H40" s="158">
        <v>905</v>
      </c>
      <c r="I40" s="158"/>
      <c r="J40" s="160">
        <v>638</v>
      </c>
      <c r="K40" s="158">
        <v>1109</v>
      </c>
      <c r="L40" s="158">
        <v>1005</v>
      </c>
      <c r="M40" s="158">
        <v>832</v>
      </c>
      <c r="N40" s="158">
        <v>716</v>
      </c>
      <c r="O40" s="158">
        <v>622</v>
      </c>
      <c r="P40" s="159"/>
      <c r="Q40" s="158">
        <v>1012</v>
      </c>
      <c r="R40" s="161">
        <v>1126</v>
      </c>
      <c r="S40" s="158">
        <f t="shared" si="13"/>
        <v>9770</v>
      </c>
      <c r="T40" s="81">
        <f t="shared" si="15"/>
        <v>11</v>
      </c>
    </row>
    <row r="41" spans="1:20">
      <c r="A41" s="113">
        <v>5</v>
      </c>
      <c r="B41" s="156" t="s">
        <v>226</v>
      </c>
      <c r="C41" s="157">
        <v>101520450548</v>
      </c>
      <c r="D41" s="158"/>
      <c r="E41" s="158"/>
      <c r="F41" s="158">
        <v>959</v>
      </c>
      <c r="G41" s="159">
        <v>846</v>
      </c>
      <c r="H41" s="158">
        <v>905</v>
      </c>
      <c r="I41" s="158">
        <v>1008</v>
      </c>
      <c r="J41" s="160">
        <v>638</v>
      </c>
      <c r="K41" s="158">
        <v>1109</v>
      </c>
      <c r="L41" s="158">
        <v>1005</v>
      </c>
      <c r="M41" s="158">
        <v>832</v>
      </c>
      <c r="N41" s="158">
        <v>716</v>
      </c>
      <c r="O41" s="158">
        <v>622</v>
      </c>
      <c r="P41" s="159"/>
      <c r="Q41" s="158">
        <v>1104</v>
      </c>
      <c r="R41" s="161">
        <v>1126</v>
      </c>
      <c r="S41" s="158">
        <f t="shared" si="13"/>
        <v>10870</v>
      </c>
      <c r="T41" s="81">
        <f t="shared" si="15"/>
        <v>12</v>
      </c>
    </row>
    <row r="42" spans="1:20">
      <c r="A42" s="113">
        <v>6</v>
      </c>
      <c r="B42" s="156" t="s">
        <v>411</v>
      </c>
      <c r="C42" s="128">
        <v>101154454730</v>
      </c>
      <c r="D42" s="158"/>
      <c r="E42" s="158">
        <v>601</v>
      </c>
      <c r="F42" s="158">
        <v>689</v>
      </c>
      <c r="G42" s="159">
        <v>846</v>
      </c>
      <c r="H42" s="158">
        <v>905</v>
      </c>
      <c r="I42" s="158"/>
      <c r="J42" s="160"/>
      <c r="K42" s="158"/>
      <c r="L42" s="158"/>
      <c r="M42" s="158"/>
      <c r="N42" s="158"/>
      <c r="O42" s="158"/>
      <c r="P42" s="159"/>
      <c r="Q42" s="158"/>
      <c r="R42" s="161"/>
      <c r="S42" s="158">
        <f t="shared" si="13"/>
        <v>3041</v>
      </c>
      <c r="T42" s="81">
        <f t="shared" si="15"/>
        <v>4</v>
      </c>
    </row>
    <row r="43" spans="1:20">
      <c r="A43" s="113">
        <v>7</v>
      </c>
      <c r="B43" s="156" t="s">
        <v>412</v>
      </c>
      <c r="C43" s="91" t="s">
        <v>397</v>
      </c>
      <c r="D43" s="158"/>
      <c r="E43" s="158">
        <v>601</v>
      </c>
      <c r="F43" s="158">
        <v>959</v>
      </c>
      <c r="G43" s="159">
        <v>846</v>
      </c>
      <c r="H43" s="158">
        <v>905</v>
      </c>
      <c r="I43" s="158"/>
      <c r="J43" s="160">
        <v>638</v>
      </c>
      <c r="K43" s="158">
        <v>1109</v>
      </c>
      <c r="L43" s="158">
        <v>1005</v>
      </c>
      <c r="M43" s="158">
        <v>832</v>
      </c>
      <c r="N43" s="158">
        <v>716</v>
      </c>
      <c r="O43" s="158">
        <v>622</v>
      </c>
      <c r="P43" s="159"/>
      <c r="Q43" s="158">
        <v>1104</v>
      </c>
      <c r="R43" s="161">
        <v>1126</v>
      </c>
      <c r="S43" s="158">
        <f t="shared" si="13"/>
        <v>10463</v>
      </c>
      <c r="T43" s="81">
        <f t="shared" si="15"/>
        <v>12</v>
      </c>
    </row>
    <row r="44" spans="1:20">
      <c r="A44" s="113">
        <v>9</v>
      </c>
      <c r="B44" s="156" t="s">
        <v>336</v>
      </c>
      <c r="C44" s="96">
        <v>102209140373</v>
      </c>
      <c r="D44" s="158"/>
      <c r="E44" s="158"/>
      <c r="F44" s="158"/>
      <c r="G44" s="159"/>
      <c r="H44" s="158"/>
      <c r="I44" s="158"/>
      <c r="J44" s="160">
        <v>638</v>
      </c>
      <c r="K44" s="158"/>
      <c r="L44" s="158"/>
      <c r="M44" s="158">
        <v>832</v>
      </c>
      <c r="N44" s="158">
        <v>716</v>
      </c>
      <c r="O44" s="158">
        <v>622</v>
      </c>
      <c r="P44" s="159"/>
      <c r="Q44" s="158"/>
      <c r="R44" s="161"/>
      <c r="S44" s="158">
        <f t="shared" si="13"/>
        <v>2808</v>
      </c>
      <c r="T44" s="81">
        <f t="shared" si="15"/>
        <v>4</v>
      </c>
    </row>
    <row r="45" spans="1:20">
      <c r="A45" s="113">
        <v>10</v>
      </c>
      <c r="B45" s="156" t="s">
        <v>415</v>
      </c>
      <c r="C45" s="125">
        <v>101835374035</v>
      </c>
      <c r="D45" s="158"/>
      <c r="E45" s="158">
        <v>601</v>
      </c>
      <c r="F45" s="158"/>
      <c r="G45" s="159"/>
      <c r="H45" s="158"/>
      <c r="I45" s="158"/>
      <c r="J45" s="160"/>
      <c r="K45" s="158"/>
      <c r="L45" s="158"/>
      <c r="M45" s="158"/>
      <c r="N45" s="158"/>
      <c r="O45" s="158"/>
      <c r="P45" s="159"/>
      <c r="Q45" s="158"/>
      <c r="R45" s="161"/>
      <c r="S45" s="158">
        <f t="shared" si="13"/>
        <v>601</v>
      </c>
      <c r="T45" s="81">
        <f t="shared" si="15"/>
        <v>1</v>
      </c>
    </row>
    <row r="46" spans="1:20">
      <c r="A46" s="113">
        <v>12</v>
      </c>
      <c r="B46" s="156" t="s">
        <v>461</v>
      </c>
      <c r="C46" s="91" t="s">
        <v>399</v>
      </c>
      <c r="D46" s="158"/>
      <c r="E46" s="158"/>
      <c r="F46" s="158"/>
      <c r="G46" s="159"/>
      <c r="H46" s="158"/>
      <c r="I46" s="158"/>
      <c r="J46" s="160"/>
      <c r="K46" s="158">
        <v>500</v>
      </c>
      <c r="L46" s="158">
        <v>500</v>
      </c>
      <c r="M46" s="158"/>
      <c r="N46" s="158"/>
      <c r="O46" s="158"/>
      <c r="P46" s="159"/>
      <c r="Q46" s="158"/>
      <c r="R46" s="161"/>
      <c r="S46" s="158">
        <f t="shared" si="13"/>
        <v>1000</v>
      </c>
      <c r="T46" s="81">
        <f t="shared" si="15"/>
        <v>2</v>
      </c>
    </row>
    <row r="47" spans="1:20">
      <c r="A47" s="113">
        <v>13</v>
      </c>
      <c r="B47" s="156" t="s">
        <v>219</v>
      </c>
      <c r="C47" s="157">
        <v>101747190938</v>
      </c>
      <c r="D47" s="158"/>
      <c r="E47" s="158">
        <v>817</v>
      </c>
      <c r="F47" s="158">
        <v>959</v>
      </c>
      <c r="G47" s="159">
        <v>846</v>
      </c>
      <c r="H47" s="158">
        <v>905</v>
      </c>
      <c r="I47" s="158">
        <v>1008</v>
      </c>
      <c r="J47" s="160">
        <v>638</v>
      </c>
      <c r="K47" s="158">
        <v>1109</v>
      </c>
      <c r="L47" s="158">
        <v>1005</v>
      </c>
      <c r="M47" s="158">
        <f>1051+832</f>
        <v>1883</v>
      </c>
      <c r="N47" s="158">
        <v>716</v>
      </c>
      <c r="O47" s="158">
        <v>622</v>
      </c>
      <c r="P47" s="159"/>
      <c r="Q47" s="158">
        <v>1104</v>
      </c>
      <c r="R47" s="161">
        <v>1126</v>
      </c>
      <c r="S47" s="158">
        <f t="shared" si="13"/>
        <v>12738</v>
      </c>
      <c r="T47" s="81">
        <f t="shared" si="15"/>
        <v>13</v>
      </c>
    </row>
    <row r="48" spans="1:20" s="163" customFormat="1">
      <c r="A48" s="118"/>
      <c r="B48" s="119" t="s">
        <v>366</v>
      </c>
      <c r="C48" s="120"/>
      <c r="D48" s="121">
        <f t="shared" ref="D48:R48" si="16">SUM(D37:D47)</f>
        <v>0</v>
      </c>
      <c r="E48" s="121">
        <f t="shared" si="16"/>
        <v>2620</v>
      </c>
      <c r="F48" s="121">
        <f t="shared" si="16"/>
        <v>8225</v>
      </c>
      <c r="G48" s="121">
        <f t="shared" si="16"/>
        <v>6365</v>
      </c>
      <c r="H48" s="121">
        <f t="shared" si="16"/>
        <v>7240</v>
      </c>
      <c r="I48" s="121">
        <f t="shared" si="16"/>
        <v>2016</v>
      </c>
      <c r="J48" s="121">
        <f t="shared" si="16"/>
        <v>4466</v>
      </c>
      <c r="K48" s="121">
        <f t="shared" si="16"/>
        <v>8263</v>
      </c>
      <c r="L48" s="121">
        <f t="shared" si="16"/>
        <v>7535</v>
      </c>
      <c r="M48" s="121">
        <f t="shared" si="16"/>
        <v>7707</v>
      </c>
      <c r="N48" s="121">
        <f t="shared" si="16"/>
        <v>5728</v>
      </c>
      <c r="O48" s="121">
        <f t="shared" si="16"/>
        <v>4976</v>
      </c>
      <c r="P48" s="121">
        <f t="shared" si="16"/>
        <v>0</v>
      </c>
      <c r="Q48" s="121">
        <f t="shared" si="16"/>
        <v>7636</v>
      </c>
      <c r="R48" s="121">
        <f t="shared" si="16"/>
        <v>7882</v>
      </c>
      <c r="S48" s="121">
        <f>SUM(S37:S42)</f>
        <v>53049</v>
      </c>
      <c r="T48" s="81">
        <f t="shared" si="15"/>
        <v>15</v>
      </c>
    </row>
    <row r="49" spans="1:20" s="187" customFormat="1">
      <c r="A49" s="182"/>
      <c r="B49" s="183" t="s">
        <v>413</v>
      </c>
      <c r="C49" s="184"/>
      <c r="D49" s="185">
        <f t="shared" ref="D49:R49" si="17">D48-D32</f>
        <v>0</v>
      </c>
      <c r="E49" s="185">
        <f t="shared" si="17"/>
        <v>-387.35999999999967</v>
      </c>
      <c r="F49" s="185">
        <f t="shared" si="17"/>
        <v>818.27999999999975</v>
      </c>
      <c r="G49" s="185">
        <f t="shared" si="17"/>
        <v>-3.319999999999709</v>
      </c>
      <c r="H49" s="185">
        <f t="shared" si="17"/>
        <v>-6.3999999999996362</v>
      </c>
      <c r="I49" s="185">
        <f t="shared" si="17"/>
        <v>2016</v>
      </c>
      <c r="J49" s="185">
        <f t="shared" si="17"/>
        <v>-1.8400000000001455</v>
      </c>
      <c r="K49" s="185">
        <f t="shared" si="17"/>
        <v>483.80000000000018</v>
      </c>
      <c r="L49" s="185">
        <f t="shared" si="17"/>
        <v>-1</v>
      </c>
      <c r="M49" s="185">
        <f t="shared" si="17"/>
        <v>1044.6000000000004</v>
      </c>
      <c r="N49" s="185">
        <f t="shared" si="17"/>
        <v>1.2799999999997453</v>
      </c>
      <c r="O49" s="185">
        <f t="shared" si="17"/>
        <v>-3.5200000000004366</v>
      </c>
      <c r="P49" s="185">
        <f t="shared" si="17"/>
        <v>0</v>
      </c>
      <c r="Q49" s="185">
        <f t="shared" si="17"/>
        <v>445.60000000000036</v>
      </c>
      <c r="R49" s="185">
        <f t="shared" si="17"/>
        <v>461.52000000000044</v>
      </c>
      <c r="S49" s="186">
        <f>SUM(D49:R49)</f>
        <v>4867.6400000000012</v>
      </c>
      <c r="T49" s="81">
        <f t="shared" si="15"/>
        <v>15</v>
      </c>
    </row>
    <row r="50" spans="1:20" s="187" customFormat="1">
      <c r="A50" s="182"/>
      <c r="B50" s="188" t="s">
        <v>414</v>
      </c>
      <c r="C50" s="184"/>
      <c r="D50" s="186">
        <f>D52*D51</f>
        <v>0</v>
      </c>
      <c r="E50" s="186">
        <f t="shared" ref="E50:R50" si="18">E52*E51</f>
        <v>4636.8</v>
      </c>
      <c r="F50" s="186">
        <f t="shared" si="18"/>
        <v>4415.3599999999997</v>
      </c>
      <c r="G50" s="186">
        <f t="shared" si="18"/>
        <v>6310.4</v>
      </c>
      <c r="H50" s="186">
        <f t="shared" si="18"/>
        <v>6686.4</v>
      </c>
      <c r="I50" s="186">
        <f t="shared" si="18"/>
        <v>7056</v>
      </c>
      <c r="J50" s="186">
        <f t="shared" si="18"/>
        <v>5353.6</v>
      </c>
      <c r="K50" s="186">
        <f t="shared" si="18"/>
        <v>6206.4</v>
      </c>
      <c r="L50" s="186">
        <f t="shared" si="18"/>
        <v>6564.8</v>
      </c>
      <c r="M50" s="186">
        <f t="shared" si="18"/>
        <v>8452.48</v>
      </c>
      <c r="N50" s="186">
        <f t="shared" si="18"/>
        <v>7783.68</v>
      </c>
      <c r="O50" s="186">
        <f t="shared" si="18"/>
        <v>6423.68</v>
      </c>
      <c r="P50" s="186">
        <f t="shared" si="18"/>
        <v>0</v>
      </c>
      <c r="Q50" s="186">
        <f t="shared" si="18"/>
        <v>0</v>
      </c>
      <c r="R50" s="186">
        <f t="shared" si="18"/>
        <v>0</v>
      </c>
      <c r="S50" s="186">
        <f>SUM(D50:R50)</f>
        <v>69889.600000000006</v>
      </c>
      <c r="T50" s="81">
        <f t="shared" si="15"/>
        <v>15</v>
      </c>
    </row>
    <row r="51" spans="1:20" s="187" customFormat="1">
      <c r="A51" s="182"/>
      <c r="B51" s="188" t="s">
        <v>405</v>
      </c>
      <c r="C51" s="189"/>
      <c r="D51" s="151"/>
      <c r="E51" s="151">
        <v>14.49</v>
      </c>
      <c r="F51" s="151">
        <v>13.798</v>
      </c>
      <c r="G51" s="153">
        <v>19.72</v>
      </c>
      <c r="H51" s="151">
        <v>20.895</v>
      </c>
      <c r="I51" s="151">
        <v>22.05</v>
      </c>
      <c r="J51" s="154">
        <v>16.73</v>
      </c>
      <c r="K51" s="151">
        <v>19.395</v>
      </c>
      <c r="L51" s="151">
        <v>20.515000000000001</v>
      </c>
      <c r="M51" s="151">
        <v>26.414000000000001</v>
      </c>
      <c r="N51" s="151">
        <v>24.324000000000002</v>
      </c>
      <c r="O51" s="151">
        <v>20.074000000000002</v>
      </c>
      <c r="P51" s="153"/>
      <c r="Q51" s="151"/>
      <c r="R51" s="155"/>
      <c r="S51" s="186">
        <f>SUM(D51:R51)</f>
        <v>218.40500000000003</v>
      </c>
      <c r="T51" s="81">
        <f t="shared" si="15"/>
        <v>11</v>
      </c>
    </row>
    <row r="52" spans="1:20" s="187" customFormat="1">
      <c r="A52" s="182"/>
      <c r="B52" s="189" t="s">
        <v>377</v>
      </c>
      <c r="C52" s="184"/>
      <c r="D52" s="190">
        <v>320</v>
      </c>
      <c r="E52" s="190">
        <v>320</v>
      </c>
      <c r="F52" s="190">
        <v>320</v>
      </c>
      <c r="G52" s="190">
        <v>320</v>
      </c>
      <c r="H52" s="190">
        <v>320</v>
      </c>
      <c r="I52" s="190">
        <v>320</v>
      </c>
      <c r="J52" s="190">
        <v>320</v>
      </c>
      <c r="K52" s="190">
        <v>320</v>
      </c>
      <c r="L52" s="190">
        <v>320</v>
      </c>
      <c r="M52" s="190">
        <v>320</v>
      </c>
      <c r="N52" s="190">
        <v>320</v>
      </c>
      <c r="O52" s="190">
        <v>320</v>
      </c>
      <c r="P52" s="190">
        <v>320</v>
      </c>
      <c r="Q52" s="190">
        <v>320</v>
      </c>
      <c r="R52" s="190">
        <v>320</v>
      </c>
      <c r="S52" s="186"/>
      <c r="T52" s="81">
        <f t="shared" si="15"/>
        <v>15</v>
      </c>
    </row>
    <row r="53" spans="1:20" s="187" customFormat="1">
      <c r="A53" s="182"/>
      <c r="B53" s="189" t="s">
        <v>406</v>
      </c>
      <c r="C53" s="189"/>
      <c r="D53" s="151"/>
      <c r="E53" s="151">
        <v>6</v>
      </c>
      <c r="F53" s="151">
        <v>6</v>
      </c>
      <c r="G53" s="153">
        <v>7</v>
      </c>
      <c r="H53" s="151">
        <v>7</v>
      </c>
      <c r="I53" s="151">
        <v>7</v>
      </c>
      <c r="J53" s="154">
        <v>6</v>
      </c>
      <c r="K53" s="151">
        <v>7</v>
      </c>
      <c r="L53" s="151">
        <v>7</v>
      </c>
      <c r="M53" s="151">
        <v>8</v>
      </c>
      <c r="N53" s="151">
        <v>9</v>
      </c>
      <c r="O53" s="151">
        <v>8</v>
      </c>
      <c r="P53" s="153"/>
      <c r="Q53" s="151"/>
      <c r="R53" s="155"/>
      <c r="S53" s="186">
        <f t="shared" ref="S53:S68" si="19">SUM(D53:R53)</f>
        <v>78</v>
      </c>
      <c r="T53" s="81">
        <f t="shared" si="15"/>
        <v>11</v>
      </c>
    </row>
    <row r="54" spans="1:20" s="187" customFormat="1">
      <c r="A54" s="182"/>
      <c r="B54" s="189" t="s">
        <v>407</v>
      </c>
      <c r="C54" s="184"/>
      <c r="D54" s="190" t="e">
        <f>D50/D53</f>
        <v>#DIV/0!</v>
      </c>
      <c r="E54" s="190">
        <f>E50/E53</f>
        <v>772.80000000000007</v>
      </c>
      <c r="F54" s="190">
        <f t="shared" ref="F54:R54" si="20">F50/F53</f>
        <v>735.89333333333332</v>
      </c>
      <c r="G54" s="190">
        <f t="shared" si="20"/>
        <v>901.48571428571427</v>
      </c>
      <c r="H54" s="190">
        <f t="shared" si="20"/>
        <v>955.19999999999993</v>
      </c>
      <c r="I54" s="190">
        <f t="shared" si="20"/>
        <v>1008</v>
      </c>
      <c r="J54" s="190">
        <f t="shared" si="20"/>
        <v>892.26666666666677</v>
      </c>
      <c r="K54" s="190">
        <f t="shared" si="20"/>
        <v>886.62857142857138</v>
      </c>
      <c r="L54" s="190">
        <f t="shared" si="20"/>
        <v>937.82857142857142</v>
      </c>
      <c r="M54" s="190">
        <f t="shared" si="20"/>
        <v>1056.56</v>
      </c>
      <c r="N54" s="190">
        <f t="shared" si="20"/>
        <v>864.85333333333335</v>
      </c>
      <c r="O54" s="190">
        <f t="shared" si="20"/>
        <v>802.96</v>
      </c>
      <c r="P54" s="190" t="e">
        <f t="shared" si="20"/>
        <v>#DIV/0!</v>
      </c>
      <c r="Q54" s="190" t="e">
        <f t="shared" si="20"/>
        <v>#DIV/0!</v>
      </c>
      <c r="R54" s="190" t="e">
        <f t="shared" si="20"/>
        <v>#DIV/0!</v>
      </c>
      <c r="S54" s="186" t="e">
        <f t="shared" si="19"/>
        <v>#DIV/0!</v>
      </c>
      <c r="T54" s="81">
        <f t="shared" si="15"/>
        <v>11</v>
      </c>
    </row>
    <row r="55" spans="1:20">
      <c r="A55" s="113">
        <v>1</v>
      </c>
      <c r="B55" s="156" t="s">
        <v>227</v>
      </c>
      <c r="C55" s="157">
        <v>101509952020</v>
      </c>
      <c r="D55" s="158"/>
      <c r="E55" s="158">
        <v>817</v>
      </c>
      <c r="F55" s="158">
        <v>823</v>
      </c>
      <c r="G55" s="159">
        <v>901</v>
      </c>
      <c r="H55" s="158">
        <v>955</v>
      </c>
      <c r="I55" s="158">
        <v>1008</v>
      </c>
      <c r="J55" s="160">
        <v>808</v>
      </c>
      <c r="K55" s="158">
        <v>886</v>
      </c>
      <c r="L55" s="158">
        <v>960</v>
      </c>
      <c r="M55" s="158">
        <v>1051</v>
      </c>
      <c r="N55" s="158">
        <v>918</v>
      </c>
      <c r="O55" s="158">
        <v>803</v>
      </c>
      <c r="P55" s="159"/>
      <c r="Q55" s="158"/>
      <c r="R55" s="161"/>
      <c r="S55" s="158">
        <f t="shared" si="19"/>
        <v>9930</v>
      </c>
      <c r="T55" s="81">
        <f t="shared" si="15"/>
        <v>11</v>
      </c>
    </row>
    <row r="56" spans="1:20">
      <c r="A56" s="113">
        <v>3</v>
      </c>
      <c r="B56" s="156" t="s">
        <v>221</v>
      </c>
      <c r="C56" s="157">
        <v>101522138160</v>
      </c>
      <c r="D56" s="158"/>
      <c r="E56" s="158">
        <v>817</v>
      </c>
      <c r="F56" s="158"/>
      <c r="G56" s="159">
        <v>901</v>
      </c>
      <c r="H56" s="158">
        <v>955</v>
      </c>
      <c r="I56" s="158"/>
      <c r="J56" s="160">
        <v>808</v>
      </c>
      <c r="K56" s="158">
        <v>886</v>
      </c>
      <c r="L56" s="158">
        <v>960</v>
      </c>
      <c r="M56" s="158">
        <v>1051</v>
      </c>
      <c r="N56" s="158">
        <v>918</v>
      </c>
      <c r="O56" s="158">
        <v>803</v>
      </c>
      <c r="P56" s="159"/>
      <c r="Q56" s="158"/>
      <c r="R56" s="161"/>
      <c r="S56" s="158">
        <f t="shared" si="19"/>
        <v>8099</v>
      </c>
      <c r="T56" s="81">
        <f t="shared" si="15"/>
        <v>9</v>
      </c>
    </row>
    <row r="57" spans="1:20">
      <c r="A57" s="113">
        <v>4</v>
      </c>
      <c r="B57" s="156" t="s">
        <v>188</v>
      </c>
      <c r="C57" s="157">
        <v>102053057886</v>
      </c>
      <c r="D57" s="158"/>
      <c r="E57" s="158"/>
      <c r="F57" s="158"/>
      <c r="G57" s="159"/>
      <c r="H57" s="158"/>
      <c r="I57" s="158"/>
      <c r="J57" s="160">
        <v>808</v>
      </c>
      <c r="K57" s="158"/>
      <c r="L57" s="158"/>
      <c r="M57" s="158"/>
      <c r="N57" s="158"/>
      <c r="O57" s="158"/>
      <c r="P57" s="159"/>
      <c r="Q57" s="158"/>
      <c r="R57" s="161"/>
      <c r="S57" s="158">
        <f t="shared" si="19"/>
        <v>808</v>
      </c>
      <c r="T57" s="81">
        <f t="shared" si="15"/>
        <v>1</v>
      </c>
    </row>
    <row r="58" spans="1:20" ht="13.8">
      <c r="A58" s="113">
        <v>5</v>
      </c>
      <c r="B58" s="99" t="s">
        <v>367</v>
      </c>
      <c r="C58" s="127">
        <v>101424676055</v>
      </c>
      <c r="D58" s="158"/>
      <c r="E58" s="158">
        <v>817</v>
      </c>
      <c r="F58" s="158">
        <v>823</v>
      </c>
      <c r="G58" s="159">
        <v>901</v>
      </c>
      <c r="H58" s="158">
        <v>955</v>
      </c>
      <c r="I58" s="158">
        <v>1008</v>
      </c>
      <c r="J58" s="160">
        <v>808</v>
      </c>
      <c r="K58" s="158">
        <v>886</v>
      </c>
      <c r="L58" s="158">
        <v>960</v>
      </c>
      <c r="M58" s="158">
        <v>566</v>
      </c>
      <c r="N58" s="158">
        <v>918</v>
      </c>
      <c r="O58" s="158">
        <v>803</v>
      </c>
      <c r="P58" s="159"/>
      <c r="Q58" s="158"/>
      <c r="R58" s="161"/>
      <c r="S58" s="158">
        <f t="shared" si="19"/>
        <v>9445</v>
      </c>
      <c r="T58" s="81">
        <f t="shared" si="15"/>
        <v>11</v>
      </c>
    </row>
    <row r="59" spans="1:20">
      <c r="A59" s="113">
        <v>6</v>
      </c>
      <c r="B59" s="156" t="s">
        <v>433</v>
      </c>
      <c r="C59" s="96">
        <v>102190249257</v>
      </c>
      <c r="D59" s="158"/>
      <c r="E59" s="158"/>
      <c r="F59" s="158">
        <v>823</v>
      </c>
      <c r="G59" s="159">
        <v>901</v>
      </c>
      <c r="H59" s="158">
        <v>955</v>
      </c>
      <c r="I59" s="158"/>
      <c r="J59" s="160">
        <v>808</v>
      </c>
      <c r="K59" s="158">
        <v>886</v>
      </c>
      <c r="L59" s="158"/>
      <c r="M59" s="158">
        <v>1051</v>
      </c>
      <c r="N59" s="158">
        <v>918</v>
      </c>
      <c r="O59" s="158">
        <v>803</v>
      </c>
      <c r="P59" s="159"/>
      <c r="Q59" s="158"/>
      <c r="R59" s="161"/>
      <c r="S59" s="158">
        <f t="shared" si="19"/>
        <v>7145</v>
      </c>
      <c r="T59" s="81">
        <f t="shared" si="15"/>
        <v>8</v>
      </c>
    </row>
    <row r="60" spans="1:20">
      <c r="A60" s="113">
        <v>7</v>
      </c>
      <c r="B60" s="156" t="s">
        <v>181</v>
      </c>
      <c r="C60" s="157">
        <v>102078951370</v>
      </c>
      <c r="D60" s="158"/>
      <c r="E60" s="158"/>
      <c r="F60" s="158"/>
      <c r="G60" s="159"/>
      <c r="H60" s="158"/>
      <c r="I60" s="158"/>
      <c r="J60" s="160">
        <v>808</v>
      </c>
      <c r="K60" s="158">
        <v>886</v>
      </c>
      <c r="L60" s="158">
        <v>960</v>
      </c>
      <c r="M60" s="158">
        <v>1051</v>
      </c>
      <c r="N60" s="158">
        <v>918</v>
      </c>
      <c r="O60" s="158">
        <v>803</v>
      </c>
      <c r="P60" s="159"/>
      <c r="Q60" s="158"/>
      <c r="R60" s="161"/>
      <c r="S60" s="158">
        <f t="shared" si="19"/>
        <v>5426</v>
      </c>
      <c r="T60" s="81">
        <f t="shared" si="15"/>
        <v>6</v>
      </c>
    </row>
    <row r="61" spans="1:20">
      <c r="A61" s="113">
        <v>8</v>
      </c>
      <c r="B61" s="156" t="s">
        <v>172</v>
      </c>
      <c r="C61" s="157">
        <v>102143026061</v>
      </c>
      <c r="D61" s="158"/>
      <c r="E61" s="158">
        <v>817</v>
      </c>
      <c r="F61" s="158">
        <v>823</v>
      </c>
      <c r="G61" s="159">
        <v>901</v>
      </c>
      <c r="H61" s="158">
        <v>955</v>
      </c>
      <c r="I61" s="158">
        <v>1008</v>
      </c>
      <c r="J61" s="160"/>
      <c r="K61" s="158"/>
      <c r="L61" s="158"/>
      <c r="M61" s="158"/>
      <c r="N61" s="158"/>
      <c r="O61" s="158"/>
      <c r="P61" s="159"/>
      <c r="Q61" s="158"/>
      <c r="R61" s="161"/>
      <c r="S61" s="158">
        <f t="shared" si="19"/>
        <v>4504</v>
      </c>
      <c r="T61" s="81">
        <f t="shared" si="15"/>
        <v>5</v>
      </c>
    </row>
    <row r="62" spans="1:20">
      <c r="A62" s="113">
        <v>9</v>
      </c>
      <c r="B62" s="99" t="s">
        <v>323</v>
      </c>
      <c r="C62" s="96">
        <v>101447270865</v>
      </c>
      <c r="D62" s="158"/>
      <c r="E62" s="158"/>
      <c r="F62" s="158">
        <v>300</v>
      </c>
      <c r="G62" s="159"/>
      <c r="H62" s="158"/>
      <c r="I62" s="158"/>
      <c r="J62" s="160"/>
      <c r="K62" s="158">
        <v>886</v>
      </c>
      <c r="L62" s="158">
        <v>960</v>
      </c>
      <c r="M62" s="158"/>
      <c r="N62" s="158">
        <v>918</v>
      </c>
      <c r="O62" s="158">
        <v>803</v>
      </c>
      <c r="P62" s="159"/>
      <c r="Q62" s="158"/>
      <c r="R62" s="161"/>
      <c r="S62" s="158">
        <f t="shared" si="19"/>
        <v>3867</v>
      </c>
      <c r="T62" s="81">
        <f t="shared" si="15"/>
        <v>5</v>
      </c>
    </row>
    <row r="63" spans="1:20">
      <c r="A63" s="113">
        <v>11</v>
      </c>
      <c r="B63" s="156" t="s">
        <v>462</v>
      </c>
      <c r="C63" s="96">
        <v>102081665259</v>
      </c>
      <c r="D63" s="158"/>
      <c r="E63" s="158">
        <v>550</v>
      </c>
      <c r="F63" s="158"/>
      <c r="G63" s="159"/>
      <c r="H63" s="158"/>
      <c r="I63" s="158"/>
      <c r="J63" s="160"/>
      <c r="K63" s="158"/>
      <c r="L63" s="158"/>
      <c r="M63" s="158"/>
      <c r="N63" s="158"/>
      <c r="O63" s="158"/>
      <c r="P63" s="159"/>
      <c r="Q63" s="158"/>
      <c r="R63" s="161"/>
      <c r="S63" s="158">
        <f t="shared" si="19"/>
        <v>550</v>
      </c>
      <c r="T63" s="81">
        <f t="shared" si="15"/>
        <v>1</v>
      </c>
    </row>
    <row r="64" spans="1:20">
      <c r="A64" s="113"/>
      <c r="B64" s="156" t="s">
        <v>463</v>
      </c>
      <c r="C64" s="128">
        <v>101241926666</v>
      </c>
      <c r="D64" s="158"/>
      <c r="E64" s="158"/>
      <c r="F64" s="158"/>
      <c r="G64" s="159">
        <v>901</v>
      </c>
      <c r="H64" s="158">
        <v>955</v>
      </c>
      <c r="I64" s="158">
        <v>1008</v>
      </c>
      <c r="J64" s="160"/>
      <c r="K64" s="158"/>
      <c r="L64" s="158"/>
      <c r="M64" s="158">
        <v>1051</v>
      </c>
      <c r="N64" s="158">
        <v>918</v>
      </c>
      <c r="O64" s="158"/>
      <c r="P64" s="159"/>
      <c r="Q64" s="158"/>
      <c r="R64" s="161"/>
      <c r="S64" s="158">
        <f t="shared" si="19"/>
        <v>4833</v>
      </c>
    </row>
    <row r="65" spans="1:20">
      <c r="A65" s="113"/>
      <c r="B65" s="156" t="s">
        <v>464</v>
      </c>
      <c r="C65" s="96">
        <v>102053057886</v>
      </c>
      <c r="D65" s="158"/>
      <c r="E65" s="158">
        <v>601</v>
      </c>
      <c r="F65" s="158"/>
      <c r="G65" s="159">
        <v>901</v>
      </c>
      <c r="H65" s="158">
        <v>955</v>
      </c>
      <c r="I65" s="158">
        <v>1008</v>
      </c>
      <c r="J65" s="160"/>
      <c r="K65" s="158"/>
      <c r="L65" s="158"/>
      <c r="M65" s="158">
        <v>1051</v>
      </c>
      <c r="N65" s="158">
        <v>918</v>
      </c>
      <c r="O65" s="158">
        <v>803</v>
      </c>
      <c r="P65" s="159"/>
      <c r="Q65" s="158"/>
      <c r="R65" s="161"/>
      <c r="S65" s="158">
        <f t="shared" si="19"/>
        <v>6237</v>
      </c>
    </row>
    <row r="66" spans="1:20">
      <c r="A66" s="113"/>
      <c r="B66" s="156" t="s">
        <v>465</v>
      </c>
      <c r="C66" s="157"/>
      <c r="D66" s="158"/>
      <c r="E66" s="158"/>
      <c r="F66" s="158"/>
      <c r="G66" s="159"/>
      <c r="H66" s="158"/>
      <c r="I66" s="158"/>
      <c r="J66" s="160">
        <v>500</v>
      </c>
      <c r="K66" s="158"/>
      <c r="L66" s="158"/>
      <c r="M66" s="158"/>
      <c r="N66" s="158"/>
      <c r="O66" s="158"/>
      <c r="P66" s="159"/>
      <c r="Q66" s="158"/>
      <c r="R66" s="161"/>
      <c r="S66" s="158">
        <f t="shared" si="19"/>
        <v>500</v>
      </c>
    </row>
    <row r="67" spans="1:20">
      <c r="A67" s="113"/>
      <c r="B67" s="156" t="s">
        <v>466</v>
      </c>
      <c r="C67" s="96">
        <v>101591620448</v>
      </c>
      <c r="D67" s="158"/>
      <c r="E67" s="158"/>
      <c r="F67" s="158"/>
      <c r="G67" s="159"/>
      <c r="H67" s="158"/>
      <c r="I67" s="158"/>
      <c r="J67" s="160"/>
      <c r="K67" s="158">
        <v>886</v>
      </c>
      <c r="L67" s="158">
        <v>960</v>
      </c>
      <c r="M67" s="158">
        <v>1051</v>
      </c>
      <c r="N67" s="158">
        <v>918</v>
      </c>
      <c r="O67" s="158">
        <v>803</v>
      </c>
      <c r="P67" s="159"/>
      <c r="Q67" s="158"/>
      <c r="R67" s="161"/>
      <c r="S67" s="158">
        <f t="shared" si="19"/>
        <v>4618</v>
      </c>
    </row>
    <row r="68" spans="1:20">
      <c r="A68" s="113"/>
      <c r="B68" s="156" t="s">
        <v>467</v>
      </c>
      <c r="C68" s="96">
        <v>101805790352</v>
      </c>
      <c r="D68" s="158"/>
      <c r="E68" s="158"/>
      <c r="F68" s="158"/>
      <c r="G68" s="159"/>
      <c r="H68" s="158"/>
      <c r="I68" s="158"/>
      <c r="J68" s="160"/>
      <c r="K68" s="158"/>
      <c r="L68" s="158">
        <v>801</v>
      </c>
      <c r="M68" s="158"/>
      <c r="N68" s="158"/>
      <c r="O68" s="158"/>
      <c r="P68" s="159"/>
      <c r="Q68" s="158"/>
      <c r="R68" s="161"/>
      <c r="S68" s="158">
        <f t="shared" si="19"/>
        <v>801</v>
      </c>
    </row>
    <row r="69" spans="1:20" s="163" customFormat="1">
      <c r="A69" s="118"/>
      <c r="B69" s="119" t="s">
        <v>366</v>
      </c>
      <c r="C69" s="119"/>
      <c r="D69" s="191">
        <f t="shared" ref="D69:S69" si="21">SUM(D55:D68)</f>
        <v>0</v>
      </c>
      <c r="E69" s="191">
        <f t="shared" si="21"/>
        <v>4419</v>
      </c>
      <c r="F69" s="191">
        <f t="shared" si="21"/>
        <v>3592</v>
      </c>
      <c r="G69" s="191">
        <f t="shared" si="21"/>
        <v>6307</v>
      </c>
      <c r="H69" s="191">
        <f t="shared" si="21"/>
        <v>6685</v>
      </c>
      <c r="I69" s="191">
        <f t="shared" si="21"/>
        <v>5040</v>
      </c>
      <c r="J69" s="191">
        <f t="shared" si="21"/>
        <v>5348</v>
      </c>
      <c r="K69" s="191">
        <f t="shared" si="21"/>
        <v>6202</v>
      </c>
      <c r="L69" s="191">
        <f t="shared" si="21"/>
        <v>6561</v>
      </c>
      <c r="M69" s="191">
        <f t="shared" si="21"/>
        <v>7923</v>
      </c>
      <c r="N69" s="191">
        <f t="shared" si="21"/>
        <v>8262</v>
      </c>
      <c r="O69" s="191">
        <f t="shared" si="21"/>
        <v>6424</v>
      </c>
      <c r="P69" s="191">
        <f t="shared" si="21"/>
        <v>0</v>
      </c>
      <c r="Q69" s="191">
        <f t="shared" si="21"/>
        <v>0</v>
      </c>
      <c r="R69" s="191">
        <f t="shared" si="21"/>
        <v>0</v>
      </c>
      <c r="S69" s="191">
        <f t="shared" si="21"/>
        <v>66763</v>
      </c>
      <c r="T69" s="81">
        <f t="shared" ref="T69:T74" si="22">COUNT(D69:R69)</f>
        <v>15</v>
      </c>
    </row>
    <row r="70" spans="1:20">
      <c r="A70" s="113"/>
      <c r="B70" s="192"/>
      <c r="C70" s="192"/>
      <c r="D70" s="161">
        <f t="shared" ref="D70:R70" si="23">D69-D50</f>
        <v>0</v>
      </c>
      <c r="E70" s="161">
        <f t="shared" si="23"/>
        <v>-217.80000000000018</v>
      </c>
      <c r="F70" s="161">
        <f t="shared" si="23"/>
        <v>-823.35999999999967</v>
      </c>
      <c r="G70" s="161">
        <f t="shared" si="23"/>
        <v>-3.3999999999996362</v>
      </c>
      <c r="H70" s="161">
        <f t="shared" si="23"/>
        <v>-1.3999999999996362</v>
      </c>
      <c r="I70" s="161">
        <f t="shared" si="23"/>
        <v>-2016</v>
      </c>
      <c r="J70" s="161">
        <f t="shared" si="23"/>
        <v>-5.6000000000003638</v>
      </c>
      <c r="K70" s="161">
        <f t="shared" si="23"/>
        <v>-4.3999999999996362</v>
      </c>
      <c r="L70" s="161">
        <f t="shared" si="23"/>
        <v>-3.8000000000001819</v>
      </c>
      <c r="M70" s="161">
        <f t="shared" si="23"/>
        <v>-529.47999999999956</v>
      </c>
      <c r="N70" s="161">
        <f t="shared" si="23"/>
        <v>478.31999999999971</v>
      </c>
      <c r="O70" s="161">
        <f t="shared" si="23"/>
        <v>0.31999999999970896</v>
      </c>
      <c r="P70" s="161">
        <f t="shared" si="23"/>
        <v>0</v>
      </c>
      <c r="Q70" s="161">
        <f t="shared" si="23"/>
        <v>0</v>
      </c>
      <c r="R70" s="161">
        <f t="shared" si="23"/>
        <v>0</v>
      </c>
      <c r="S70" s="158">
        <f>SUM(D70:R70)</f>
        <v>-3126.5999999999995</v>
      </c>
      <c r="T70" s="81">
        <f t="shared" si="22"/>
        <v>15</v>
      </c>
    </row>
    <row r="71" spans="1:20">
      <c r="A71" s="113"/>
      <c r="B71" s="193" t="s">
        <v>434</v>
      </c>
      <c r="C71" s="193"/>
      <c r="D71" s="158">
        <f t="shared" ref="D71:S71" si="24">D17+D30</f>
        <v>0</v>
      </c>
      <c r="E71" s="158">
        <f t="shared" si="24"/>
        <v>6751</v>
      </c>
      <c r="F71" s="158">
        <f t="shared" si="24"/>
        <v>8144</v>
      </c>
      <c r="G71" s="158">
        <f t="shared" si="24"/>
        <v>9005</v>
      </c>
      <c r="H71" s="158">
        <f t="shared" si="24"/>
        <v>9080</v>
      </c>
      <c r="I71" s="158">
        <f t="shared" si="24"/>
        <v>0</v>
      </c>
      <c r="J71" s="158">
        <f t="shared" si="24"/>
        <v>12572</v>
      </c>
      <c r="K71" s="158">
        <f t="shared" si="24"/>
        <v>9457</v>
      </c>
      <c r="L71" s="158">
        <f t="shared" si="24"/>
        <v>10842</v>
      </c>
      <c r="M71" s="158">
        <f t="shared" si="24"/>
        <v>10655</v>
      </c>
      <c r="N71" s="158">
        <f t="shared" si="24"/>
        <v>10545</v>
      </c>
      <c r="O71" s="158">
        <f t="shared" si="24"/>
        <v>5145</v>
      </c>
      <c r="P71" s="158">
        <f t="shared" si="24"/>
        <v>0</v>
      </c>
      <c r="Q71" s="158">
        <f t="shared" si="24"/>
        <v>5720</v>
      </c>
      <c r="R71" s="158">
        <f t="shared" si="24"/>
        <v>5352</v>
      </c>
      <c r="S71" s="158">
        <f t="shared" si="24"/>
        <v>103268</v>
      </c>
      <c r="T71" s="81">
        <f t="shared" si="22"/>
        <v>15</v>
      </c>
    </row>
    <row r="72" spans="1:20">
      <c r="A72" s="113"/>
      <c r="B72" s="193" t="s">
        <v>435</v>
      </c>
      <c r="C72" s="193"/>
      <c r="D72" s="158">
        <f t="shared" ref="D72:S72" si="25">D4+D20</f>
        <v>0</v>
      </c>
      <c r="E72" s="158">
        <f t="shared" si="25"/>
        <v>28.106999999999999</v>
      </c>
      <c r="F72" s="158">
        <f t="shared" si="25"/>
        <v>24.524000000000001</v>
      </c>
      <c r="G72" s="158">
        <f t="shared" si="25"/>
        <v>40.94</v>
      </c>
      <c r="H72" s="158">
        <f t="shared" si="25"/>
        <v>41.290999999999997</v>
      </c>
      <c r="I72" s="158">
        <f t="shared" si="25"/>
        <v>0</v>
      </c>
      <c r="J72" s="158">
        <f t="shared" si="25"/>
        <v>57.179999999999993</v>
      </c>
      <c r="K72" s="158">
        <f t="shared" si="25"/>
        <v>42.866</v>
      </c>
      <c r="L72" s="158">
        <f t="shared" si="25"/>
        <v>49.320999999999998</v>
      </c>
      <c r="M72" s="158">
        <f t="shared" si="25"/>
        <v>48.447000000000003</v>
      </c>
      <c r="N72" s="158">
        <f t="shared" si="25"/>
        <v>47.951000000000001</v>
      </c>
      <c r="O72" s="158">
        <f t="shared" si="25"/>
        <v>23.388000000000002</v>
      </c>
      <c r="P72" s="158">
        <f t="shared" si="25"/>
        <v>0</v>
      </c>
      <c r="Q72" s="158">
        <f t="shared" si="25"/>
        <v>26</v>
      </c>
      <c r="R72" s="158">
        <f t="shared" si="25"/>
        <v>24.341000000000001</v>
      </c>
      <c r="S72" s="158">
        <f t="shared" si="25"/>
        <v>454.35599999999999</v>
      </c>
      <c r="T72" s="81">
        <f t="shared" si="22"/>
        <v>15</v>
      </c>
    </row>
    <row r="73" spans="1:20">
      <c r="A73" s="113"/>
      <c r="B73" s="193" t="s">
        <v>436</v>
      </c>
      <c r="C73" s="193"/>
      <c r="D73" s="158">
        <f t="shared" ref="D73:S73" si="26">D69+D48</f>
        <v>0</v>
      </c>
      <c r="E73" s="158">
        <f t="shared" si="26"/>
        <v>7039</v>
      </c>
      <c r="F73" s="158">
        <f t="shared" si="26"/>
        <v>11817</v>
      </c>
      <c r="G73" s="158">
        <f t="shared" si="26"/>
        <v>12672</v>
      </c>
      <c r="H73" s="158">
        <f t="shared" si="26"/>
        <v>13925</v>
      </c>
      <c r="I73" s="158">
        <f t="shared" si="26"/>
        <v>7056</v>
      </c>
      <c r="J73" s="158">
        <f t="shared" si="26"/>
        <v>9814</v>
      </c>
      <c r="K73" s="158">
        <f t="shared" si="26"/>
        <v>14465</v>
      </c>
      <c r="L73" s="158">
        <f t="shared" si="26"/>
        <v>14096</v>
      </c>
      <c r="M73" s="158">
        <f t="shared" si="26"/>
        <v>15630</v>
      </c>
      <c r="N73" s="158">
        <f t="shared" si="26"/>
        <v>13990</v>
      </c>
      <c r="O73" s="158">
        <f t="shared" si="26"/>
        <v>11400</v>
      </c>
      <c r="P73" s="158">
        <f t="shared" si="26"/>
        <v>0</v>
      </c>
      <c r="Q73" s="158">
        <f t="shared" si="26"/>
        <v>7636</v>
      </c>
      <c r="R73" s="158">
        <f t="shared" si="26"/>
        <v>7882</v>
      </c>
      <c r="S73" s="158">
        <f t="shared" si="26"/>
        <v>119812</v>
      </c>
      <c r="T73" s="81">
        <f t="shared" si="22"/>
        <v>15</v>
      </c>
    </row>
    <row r="74" spans="1:20">
      <c r="A74" s="113"/>
      <c r="B74" s="193" t="s">
        <v>437</v>
      </c>
      <c r="C74" s="193"/>
      <c r="D74" s="158">
        <f t="shared" ref="D74:S74" si="27">D51+D33</f>
        <v>0</v>
      </c>
      <c r="E74" s="158">
        <f t="shared" si="27"/>
        <v>23.887999999999998</v>
      </c>
      <c r="F74" s="158">
        <f t="shared" si="27"/>
        <v>36.944000000000003</v>
      </c>
      <c r="G74" s="158">
        <f t="shared" si="27"/>
        <v>39.620999999999995</v>
      </c>
      <c r="H74" s="158">
        <f t="shared" si="27"/>
        <v>43.54</v>
      </c>
      <c r="I74" s="158">
        <f t="shared" si="27"/>
        <v>22.05</v>
      </c>
      <c r="J74" s="158">
        <f t="shared" si="27"/>
        <v>30.692</v>
      </c>
      <c r="K74" s="158">
        <f t="shared" si="27"/>
        <v>43.704999999999998</v>
      </c>
      <c r="L74" s="158">
        <f t="shared" si="27"/>
        <v>44.064999999999998</v>
      </c>
      <c r="M74" s="158">
        <f t="shared" si="27"/>
        <v>47.234000000000002</v>
      </c>
      <c r="N74" s="158">
        <f t="shared" si="27"/>
        <v>42.22</v>
      </c>
      <c r="O74" s="158">
        <f t="shared" si="27"/>
        <v>35.635000000000005</v>
      </c>
      <c r="P74" s="158">
        <f t="shared" si="27"/>
        <v>0</v>
      </c>
      <c r="Q74" s="158">
        <f t="shared" si="27"/>
        <v>22.47</v>
      </c>
      <c r="R74" s="158">
        <f t="shared" si="27"/>
        <v>23.189</v>
      </c>
      <c r="S74" s="158">
        <f t="shared" si="27"/>
        <v>455.25300000000004</v>
      </c>
      <c r="T74" s="81">
        <f t="shared" si="22"/>
        <v>15</v>
      </c>
    </row>
    <row r="76" spans="1:20"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</row>
    <row r="77" spans="1:20"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</row>
    <row r="78" spans="1:20"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</row>
    <row r="79" spans="1:20"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</row>
    <row r="80" spans="1:20"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</row>
    <row r="81" s="81" customFormat="1"/>
    <row r="82" s="81" customFormat="1"/>
    <row r="83" s="81" customFormat="1"/>
    <row r="84" s="81" customFormat="1"/>
    <row r="85" s="81" customFormat="1"/>
    <row r="86" s="81" customFormat="1"/>
    <row r="87" s="81" customFormat="1"/>
    <row r="88" s="81" customFormat="1"/>
    <row r="89" s="81" customFormat="1"/>
    <row r="90" s="81" customFormat="1"/>
    <row r="91" s="81" customFormat="1"/>
    <row r="92" s="81" customFormat="1"/>
    <row r="93" s="81" customFormat="1"/>
    <row r="94" s="81" customFormat="1"/>
    <row r="95" s="81" customFormat="1"/>
    <row r="96" s="81" customFormat="1"/>
    <row r="97" s="81" customFormat="1"/>
    <row r="98" s="81" customFormat="1"/>
    <row r="99" s="81" customFormat="1"/>
    <row r="100" s="81" customFormat="1"/>
    <row r="101" s="81" customFormat="1"/>
    <row r="102" s="81" customFormat="1"/>
    <row r="103" s="81" customFormat="1"/>
    <row r="104" s="81" customFormat="1"/>
    <row r="105" s="81" customFormat="1"/>
    <row r="106" s="81" customFormat="1"/>
    <row r="107" s="81" customFormat="1"/>
    <row r="108" s="81" customFormat="1"/>
    <row r="109" s="81" customFormat="1"/>
    <row r="110" s="81" customFormat="1"/>
    <row r="111" s="81" customFormat="1"/>
    <row r="112" s="81" customFormat="1"/>
    <row r="113" s="81" customFormat="1"/>
    <row r="114" s="81" customFormat="1"/>
    <row r="115" s="81" customFormat="1"/>
    <row r="116" s="81" customFormat="1"/>
    <row r="117" s="81" customFormat="1"/>
    <row r="118" s="81" customFormat="1"/>
    <row r="119" s="81" customFormat="1"/>
    <row r="120" s="81" customFormat="1"/>
    <row r="121" s="81" customFormat="1"/>
    <row r="122" s="81" customFormat="1"/>
    <row r="123" s="81" customFormat="1"/>
    <row r="124" s="81" customFormat="1"/>
    <row r="125" s="81" customFormat="1"/>
    <row r="126" s="81" customFormat="1"/>
    <row r="127" s="81" customFormat="1"/>
    <row r="128" s="81" customFormat="1"/>
    <row r="129" s="81" customFormat="1"/>
    <row r="130" s="81" customFormat="1"/>
    <row r="131" s="81" customFormat="1"/>
    <row r="132" s="81" customFormat="1"/>
    <row r="133" s="81" customFormat="1"/>
    <row r="134" s="81" customFormat="1"/>
    <row r="135" s="81" customFormat="1"/>
    <row r="136" s="81" customFormat="1"/>
    <row r="137" s="81" customFormat="1"/>
    <row r="138" s="81" customFormat="1"/>
    <row r="139" s="81" customFormat="1"/>
    <row r="140" s="81" customFormat="1"/>
    <row r="141" s="81" customFormat="1"/>
    <row r="142" s="81" customFormat="1"/>
    <row r="143" s="81" customFormat="1"/>
    <row r="144" s="81" customFormat="1"/>
    <row r="145" s="81" customFormat="1"/>
    <row r="146" s="81" customFormat="1"/>
    <row r="147" s="81" customFormat="1"/>
    <row r="148" s="81" customFormat="1"/>
    <row r="149" s="81" customFormat="1"/>
    <row r="150" s="81" customFormat="1"/>
    <row r="151" s="81" customFormat="1"/>
    <row r="152" s="81" customFormat="1"/>
    <row r="153" s="81" customFormat="1"/>
    <row r="154" s="81" customFormat="1"/>
    <row r="155" s="81" customFormat="1"/>
    <row r="156" s="81" customFormat="1"/>
    <row r="157" s="81" customFormat="1"/>
    <row r="158" s="81" customFormat="1"/>
    <row r="159" s="81" customFormat="1"/>
    <row r="160" s="81" customFormat="1"/>
    <row r="161" s="81" customFormat="1"/>
    <row r="162" s="81" customFormat="1"/>
    <row r="163" s="81" customFormat="1"/>
    <row r="164" s="81" customFormat="1"/>
    <row r="165" s="81" customFormat="1"/>
    <row r="166" s="81" customFormat="1"/>
    <row r="167" s="81" customFormat="1"/>
    <row r="168" s="81" customFormat="1"/>
    <row r="169" s="81" customFormat="1"/>
    <row r="170" s="81" customFormat="1"/>
    <row r="171" s="81" customFormat="1"/>
    <row r="172" s="81" customFormat="1"/>
    <row r="173" s="81" customFormat="1"/>
    <row r="174" s="81" customFormat="1"/>
    <row r="175" s="81" customFormat="1"/>
    <row r="176" s="81" customFormat="1"/>
    <row r="177" s="81" customFormat="1"/>
    <row r="178" s="81" customFormat="1"/>
    <row r="179" s="81" customFormat="1"/>
    <row r="180" s="81" customFormat="1"/>
    <row r="181" s="81" customFormat="1"/>
    <row r="182" s="81" customFormat="1"/>
    <row r="183" s="81" customFormat="1"/>
    <row r="184" s="81" customFormat="1"/>
    <row r="185" s="81" customFormat="1"/>
    <row r="186" s="81" customFormat="1"/>
    <row r="187" s="81" customFormat="1"/>
    <row r="188" s="81" customFormat="1"/>
    <row r="189" s="81" customFormat="1"/>
    <row r="190" s="81" customFormat="1"/>
    <row r="191" s="81" customFormat="1"/>
    <row r="192" s="81" customFormat="1"/>
    <row r="193" s="81" customFormat="1"/>
    <row r="194" s="81" customFormat="1"/>
    <row r="195" s="81" customFormat="1"/>
    <row r="196" s="81" customFormat="1"/>
    <row r="197" s="81" customFormat="1"/>
    <row r="198" s="81" customFormat="1"/>
    <row r="199" s="81" customFormat="1"/>
    <row r="200" s="81" customFormat="1"/>
    <row r="201" s="81" customFormat="1"/>
    <row r="202" s="81" customFormat="1"/>
    <row r="203" s="81" customFormat="1"/>
    <row r="204" s="81" customFormat="1"/>
    <row r="205" s="81" customFormat="1"/>
    <row r="206" s="81" customFormat="1"/>
    <row r="207" s="81" customFormat="1"/>
    <row r="208" s="81" customFormat="1"/>
    <row r="209" s="81" customFormat="1"/>
    <row r="210" s="81" customFormat="1"/>
    <row r="211" s="81" customFormat="1"/>
    <row r="212" s="81" customFormat="1"/>
    <row r="213" s="81" customFormat="1"/>
    <row r="214" s="81" customFormat="1"/>
    <row r="215" s="81" customFormat="1"/>
    <row r="216" s="81" customFormat="1"/>
    <row r="217" s="81" customFormat="1"/>
    <row r="218" s="81" customFormat="1"/>
    <row r="219" s="81" customFormat="1"/>
    <row r="220" s="81" customFormat="1"/>
    <row r="221" s="81" customFormat="1"/>
    <row r="222" s="81" customFormat="1"/>
    <row r="223" s="81" customFormat="1"/>
    <row r="224" s="81" customFormat="1"/>
    <row r="225" s="81" customFormat="1"/>
    <row r="226" s="81" customFormat="1"/>
    <row r="227" s="81" customFormat="1"/>
    <row r="228" s="81" customFormat="1"/>
    <row r="229" s="81" customFormat="1"/>
    <row r="230" s="81" customFormat="1"/>
    <row r="231" s="81" customFormat="1"/>
    <row r="232" s="81" customFormat="1"/>
    <row r="233" s="81" customFormat="1"/>
    <row r="234" s="81" customFormat="1"/>
    <row r="235" s="81" customFormat="1"/>
    <row r="236" s="81" customFormat="1"/>
    <row r="237" s="81" customFormat="1"/>
    <row r="238" s="81" customFormat="1"/>
    <row r="239" s="81" customFormat="1"/>
    <row r="240" s="81" customFormat="1"/>
    <row r="241" s="81" customFormat="1"/>
    <row r="242" s="81" customFormat="1"/>
    <row r="243" s="81" customFormat="1"/>
    <row r="244" s="81" customFormat="1"/>
    <row r="245" s="81" customFormat="1"/>
    <row r="246" s="81" customFormat="1"/>
    <row r="247" s="81" customFormat="1"/>
    <row r="248" s="81" customFormat="1"/>
    <row r="249" s="81" customFormat="1"/>
    <row r="250" s="81" customFormat="1"/>
    <row r="251" s="81" customFormat="1"/>
    <row r="252" s="81" customFormat="1"/>
    <row r="253" s="81" customFormat="1"/>
    <row r="254" s="81" customFormat="1"/>
    <row r="255" s="81" customFormat="1"/>
    <row r="256" s="81" customFormat="1"/>
    <row r="257" s="81" customFormat="1"/>
    <row r="258" s="81" customFormat="1"/>
    <row r="259" s="81" customFormat="1"/>
    <row r="260" s="81" customFormat="1"/>
    <row r="261" s="81" customFormat="1"/>
    <row r="262" s="81" customFormat="1"/>
    <row r="263" s="81" customFormat="1"/>
    <row r="264" s="81" customFormat="1"/>
    <row r="265" s="81" customFormat="1"/>
    <row r="266" s="81" customFormat="1"/>
    <row r="267" s="81" customFormat="1"/>
    <row r="268" s="81" customFormat="1"/>
    <row r="269" s="81" customFormat="1"/>
    <row r="270" s="81" customFormat="1"/>
    <row r="271" s="81" customFormat="1"/>
    <row r="272" s="81" customFormat="1"/>
    <row r="273" s="81" customFormat="1"/>
    <row r="274" s="81" customFormat="1"/>
    <row r="275" s="81" customFormat="1"/>
    <row r="276" s="81" customFormat="1"/>
    <row r="277" s="81" customFormat="1"/>
    <row r="278" s="81" customFormat="1"/>
    <row r="279" s="81" customFormat="1"/>
    <row r="280" s="81" customFormat="1"/>
    <row r="281" s="81" customFormat="1"/>
    <row r="282" s="81" customFormat="1"/>
    <row r="283" s="81" customFormat="1"/>
    <row r="284" s="81" customFormat="1"/>
    <row r="285" s="81" customFormat="1"/>
    <row r="286" s="81" customFormat="1"/>
    <row r="287" s="81" customFormat="1"/>
    <row r="288" s="81" customFormat="1"/>
    <row r="289" s="81" customFormat="1"/>
    <row r="290" s="81" customFormat="1"/>
    <row r="291" s="81" customFormat="1"/>
    <row r="292" s="81" customFormat="1"/>
    <row r="293" s="81" customFormat="1"/>
    <row r="294" s="81" customFormat="1"/>
    <row r="295" s="81" customFormat="1"/>
    <row r="296" s="81" customFormat="1"/>
    <row r="297" s="81" customFormat="1"/>
    <row r="298" s="81" customFormat="1"/>
    <row r="299" s="81" customFormat="1"/>
    <row r="300" s="81" customFormat="1"/>
    <row r="301" s="81" customFormat="1"/>
    <row r="302" s="81" customFormat="1"/>
    <row r="303" s="81" customFormat="1"/>
    <row r="304" s="81" customFormat="1"/>
    <row r="305" s="81" customFormat="1"/>
    <row r="306" s="81" customFormat="1"/>
    <row r="307" s="81" customFormat="1"/>
    <row r="308" s="81" customFormat="1"/>
    <row r="309" s="81" customFormat="1"/>
    <row r="310" s="81" customFormat="1"/>
    <row r="311" s="81" customFormat="1"/>
    <row r="312" s="81" customFormat="1"/>
    <row r="313" s="81" customFormat="1"/>
    <row r="314" s="81" customFormat="1"/>
    <row r="315" s="81" customFormat="1"/>
    <row r="316" s="81" customFormat="1"/>
    <row r="317" s="81" customFormat="1"/>
    <row r="318" s="81" customFormat="1"/>
    <row r="319" s="81" customFormat="1"/>
    <row r="320" s="81" customFormat="1"/>
    <row r="321" s="81" customFormat="1"/>
    <row r="322" s="81" customFormat="1"/>
    <row r="323" s="81" customFormat="1"/>
    <row r="324" s="81" customFormat="1"/>
    <row r="325" s="81" customFormat="1"/>
    <row r="326" s="81" customFormat="1"/>
    <row r="327" s="81" customFormat="1"/>
    <row r="328" s="81" customFormat="1"/>
    <row r="329" s="81" customFormat="1"/>
    <row r="330" s="81" customFormat="1"/>
    <row r="331" s="81" customFormat="1"/>
    <row r="332" s="81" customFormat="1"/>
    <row r="333" s="81" customFormat="1"/>
    <row r="334" s="81" customFormat="1"/>
    <row r="335" s="81" customFormat="1"/>
    <row r="336" s="81" customFormat="1"/>
    <row r="337" s="81" customFormat="1"/>
    <row r="338" s="81" customFormat="1"/>
    <row r="339" s="81" customFormat="1"/>
    <row r="340" s="81" customFormat="1"/>
    <row r="341" s="81" customFormat="1"/>
    <row r="342" s="81" customFormat="1"/>
    <row r="343" s="81" customFormat="1"/>
    <row r="344" s="81" customFormat="1"/>
    <row r="345" s="81" customFormat="1"/>
    <row r="346" s="81" customFormat="1"/>
    <row r="347" s="81" customFormat="1"/>
    <row r="348" s="81" customFormat="1"/>
    <row r="349" s="81" customFormat="1"/>
    <row r="350" s="81" customFormat="1"/>
    <row r="351" s="81" customFormat="1"/>
    <row r="352" s="81" customFormat="1"/>
    <row r="353" s="81" customFormat="1"/>
    <row r="354" s="81" customFormat="1"/>
    <row r="355" s="81" customFormat="1"/>
    <row r="356" s="81" customFormat="1"/>
    <row r="357" s="81" customFormat="1"/>
    <row r="358" s="81" customFormat="1"/>
    <row r="359" s="81" customFormat="1"/>
    <row r="360" s="81" customFormat="1"/>
    <row r="361" s="81" customFormat="1"/>
    <row r="362" s="81" customFormat="1"/>
    <row r="363" s="81" customFormat="1"/>
    <row r="364" s="81" customFormat="1"/>
    <row r="365" s="81" customFormat="1"/>
    <row r="366" s="81" customFormat="1"/>
    <row r="367" s="81" customFormat="1"/>
    <row r="368" s="81" customFormat="1"/>
    <row r="369" s="81" customFormat="1"/>
    <row r="370" s="81" customFormat="1"/>
    <row r="371" s="81" customFormat="1"/>
    <row r="372" s="81" customFormat="1"/>
    <row r="373" s="81" customFormat="1"/>
    <row r="374" s="81" customFormat="1"/>
    <row r="375" s="81" customFormat="1"/>
    <row r="376" s="81" customFormat="1"/>
    <row r="377" s="81" customFormat="1"/>
    <row r="378" s="81" customFormat="1"/>
    <row r="379" s="81" customFormat="1"/>
    <row r="380" s="81" customFormat="1"/>
    <row r="381" s="81" customFormat="1"/>
    <row r="382" s="81" customFormat="1"/>
    <row r="383" s="81" customFormat="1"/>
    <row r="384" s="81" customFormat="1"/>
    <row r="385" s="81" customFormat="1"/>
    <row r="386" s="81" customFormat="1"/>
    <row r="387" s="81" customFormat="1"/>
    <row r="388" s="81" customFormat="1"/>
    <row r="389" s="81" customFormat="1"/>
    <row r="390" s="81" customFormat="1"/>
    <row r="391" s="81" customFormat="1"/>
    <row r="392" s="81" customFormat="1"/>
    <row r="393" s="81" customFormat="1"/>
    <row r="394" s="81" customFormat="1"/>
    <row r="395" s="81" customFormat="1"/>
    <row r="396" s="81" customFormat="1"/>
    <row r="397" s="81" customFormat="1"/>
    <row r="398" s="81" customFormat="1"/>
    <row r="399" s="81" customFormat="1"/>
    <row r="400" s="81" customFormat="1"/>
    <row r="401" s="81" customFormat="1"/>
    <row r="402" s="81" customFormat="1"/>
    <row r="403" s="81" customFormat="1"/>
    <row r="404" s="81" customFormat="1"/>
    <row r="405" s="81" customFormat="1"/>
    <row r="406" s="81" customFormat="1"/>
    <row r="407" s="81" customFormat="1"/>
    <row r="408" s="81" customFormat="1"/>
    <row r="409" s="81" customFormat="1"/>
    <row r="410" s="81" customFormat="1"/>
    <row r="411" s="81" customFormat="1"/>
    <row r="412" s="81" customFormat="1"/>
    <row r="413" s="81" customFormat="1"/>
    <row r="414" s="81" customFormat="1"/>
    <row r="415" s="81" customFormat="1"/>
    <row r="416" s="81" customFormat="1"/>
    <row r="417" s="81" customFormat="1"/>
    <row r="418" s="81" customFormat="1"/>
    <row r="419" s="81" customFormat="1"/>
    <row r="420" s="81" customFormat="1"/>
    <row r="421" s="81" customFormat="1"/>
    <row r="422" s="81" customFormat="1"/>
    <row r="423" s="81" customFormat="1"/>
    <row r="424" s="81" customFormat="1"/>
    <row r="425" s="81" customFormat="1"/>
    <row r="426" s="81" customFormat="1"/>
    <row r="427" s="81" customFormat="1"/>
    <row r="428" s="81" customFormat="1"/>
    <row r="429" s="81" customFormat="1"/>
    <row r="430" s="81" customFormat="1"/>
    <row r="431" s="81" customFormat="1"/>
    <row r="432" s="81" customFormat="1"/>
    <row r="433" s="81" customFormat="1"/>
    <row r="434" s="81" customFormat="1"/>
    <row r="435" s="81" customFormat="1"/>
    <row r="436" s="81" customFormat="1"/>
    <row r="437" s="81" customFormat="1"/>
    <row r="438" s="81" customFormat="1"/>
    <row r="439" s="81" customFormat="1"/>
    <row r="440" s="81" customFormat="1"/>
    <row r="441" s="81" customFormat="1"/>
    <row r="442" s="81" customFormat="1"/>
    <row r="443" s="81" customFormat="1"/>
    <row r="444" s="81" customFormat="1"/>
    <row r="445" s="81" customFormat="1"/>
    <row r="446" s="81" customFormat="1"/>
    <row r="447" s="81" customFormat="1"/>
    <row r="448" s="81" customFormat="1"/>
    <row r="449" s="81" customFormat="1"/>
    <row r="450" s="81" customFormat="1"/>
    <row r="451" s="81" customFormat="1"/>
    <row r="452" s="81" customFormat="1"/>
    <row r="453" s="81" customFormat="1"/>
    <row r="454" s="81" customFormat="1"/>
    <row r="455" s="81" customFormat="1"/>
    <row r="456" s="81" customFormat="1"/>
    <row r="457" s="81" customFormat="1"/>
    <row r="458" s="81" customFormat="1"/>
    <row r="459" s="81" customFormat="1"/>
    <row r="460" s="81" customFormat="1"/>
    <row r="461" s="81" customFormat="1"/>
    <row r="462" s="81" customFormat="1"/>
    <row r="463" s="81" customFormat="1"/>
    <row r="464" s="81" customFormat="1"/>
    <row r="465" s="81" customFormat="1"/>
    <row r="466" s="81" customFormat="1"/>
    <row r="467" s="81" customFormat="1"/>
    <row r="468" s="81" customFormat="1"/>
    <row r="469" s="81" customFormat="1"/>
    <row r="470" s="81" customFormat="1"/>
    <row r="471" s="81" customFormat="1"/>
    <row r="472" s="81" customFormat="1"/>
    <row r="473" s="81" customFormat="1"/>
    <row r="474" s="81" customFormat="1"/>
    <row r="475" s="81" customFormat="1"/>
    <row r="476" s="81" customFormat="1"/>
    <row r="477" s="81" customFormat="1"/>
    <row r="478" s="81" customFormat="1"/>
    <row r="479" s="81" customFormat="1"/>
    <row r="480" s="81" customFormat="1"/>
    <row r="481" s="81" customFormat="1"/>
    <row r="482" s="81" customFormat="1"/>
    <row r="483" s="81" customFormat="1"/>
    <row r="484" s="81" customFormat="1"/>
    <row r="485" s="81" customFormat="1"/>
    <row r="486" s="81" customFormat="1"/>
    <row r="487" s="81" customFormat="1"/>
    <row r="488" s="81" customFormat="1"/>
    <row r="489" s="81" customFormat="1"/>
    <row r="490" s="81" customFormat="1"/>
    <row r="491" s="81" customFormat="1"/>
    <row r="492" s="81" customFormat="1"/>
    <row r="493" s="81" customFormat="1"/>
    <row r="494" s="81" customFormat="1"/>
    <row r="495" s="81" customFormat="1"/>
    <row r="496" s="81" customFormat="1"/>
    <row r="497" s="81" customFormat="1"/>
    <row r="498" s="81" customFormat="1"/>
    <row r="499" s="81" customFormat="1"/>
    <row r="500" s="81" customFormat="1"/>
    <row r="501" s="81" customFormat="1"/>
    <row r="502" s="81" customFormat="1"/>
    <row r="503" s="81" customFormat="1"/>
    <row r="504" s="81" customFormat="1"/>
    <row r="505" s="81" customFormat="1"/>
    <row r="506" s="81" customFormat="1"/>
    <row r="507" s="81" customFormat="1"/>
    <row r="508" s="81" customFormat="1"/>
    <row r="509" s="81" customFormat="1"/>
    <row r="510" s="81" customFormat="1"/>
    <row r="511" s="81" customFormat="1"/>
    <row r="512" s="81" customFormat="1"/>
    <row r="513" s="81" customFormat="1"/>
    <row r="514" s="81" customFormat="1"/>
    <row r="515" s="81" customFormat="1"/>
    <row r="516" s="81" customFormat="1"/>
    <row r="517" s="81" customFormat="1"/>
    <row r="518" s="81" customFormat="1"/>
    <row r="519" s="81" customFormat="1"/>
    <row r="520" s="81" customFormat="1"/>
    <row r="521" s="81" customFormat="1"/>
    <row r="522" s="81" customFormat="1"/>
    <row r="523" s="81" customFormat="1"/>
    <row r="524" s="81" customFormat="1"/>
    <row r="525" s="81" customFormat="1"/>
    <row r="526" s="81" customFormat="1"/>
    <row r="527" s="81" customFormat="1"/>
    <row r="528" s="81" customFormat="1"/>
    <row r="529" s="81" customFormat="1"/>
    <row r="530" s="81" customFormat="1"/>
    <row r="531" s="81" customFormat="1"/>
    <row r="532" s="81" customFormat="1"/>
    <row r="533" s="81" customFormat="1"/>
    <row r="534" s="81" customFormat="1"/>
    <row r="535" s="81" customFormat="1"/>
    <row r="536" s="81" customFormat="1"/>
    <row r="537" s="81" customFormat="1"/>
    <row r="538" s="81" customFormat="1"/>
    <row r="539" s="81" customFormat="1"/>
    <row r="540" s="81" customFormat="1"/>
    <row r="541" s="81" customFormat="1"/>
    <row r="542" s="81" customFormat="1"/>
    <row r="543" s="81" customFormat="1"/>
    <row r="544" s="81" customFormat="1"/>
    <row r="545" s="81" customFormat="1"/>
    <row r="546" s="81" customFormat="1"/>
    <row r="547" s="81" customFormat="1"/>
    <row r="548" s="81" customFormat="1"/>
    <row r="549" s="81" customFormat="1"/>
    <row r="550" s="81" customFormat="1"/>
    <row r="551" s="81" customFormat="1"/>
    <row r="552" s="81" customFormat="1"/>
    <row r="553" s="81" customFormat="1"/>
    <row r="554" s="81" customFormat="1"/>
    <row r="555" s="81" customFormat="1"/>
    <row r="556" s="81" customFormat="1"/>
    <row r="557" s="81" customFormat="1"/>
    <row r="558" s="81" customFormat="1"/>
    <row r="559" s="81" customFormat="1"/>
    <row r="560" s="81" customFormat="1"/>
    <row r="561" s="81" customFormat="1"/>
    <row r="562" s="81" customFormat="1"/>
    <row r="563" s="81" customFormat="1"/>
    <row r="564" s="81" customFormat="1"/>
    <row r="565" s="81" customFormat="1"/>
    <row r="566" s="81" customFormat="1"/>
    <row r="567" s="81" customFormat="1"/>
    <row r="568" s="81" customFormat="1"/>
    <row r="569" s="81" customFormat="1"/>
    <row r="570" s="81" customFormat="1"/>
    <row r="571" s="81" customFormat="1"/>
    <row r="572" s="81" customFormat="1"/>
    <row r="573" s="81" customFormat="1"/>
    <row r="574" s="81" customFormat="1"/>
    <row r="575" s="81" customFormat="1"/>
    <row r="576" s="81" customFormat="1"/>
    <row r="577" s="81" customFormat="1"/>
    <row r="578" s="81" customFormat="1"/>
    <row r="579" s="81" customFormat="1"/>
    <row r="580" s="81" customFormat="1"/>
    <row r="581" s="81" customFormat="1"/>
    <row r="582" s="81" customFormat="1"/>
    <row r="583" s="81" customFormat="1"/>
    <row r="584" s="81" customFormat="1"/>
    <row r="585" s="81" customFormat="1"/>
    <row r="586" s="81" customFormat="1"/>
    <row r="587" s="81" customFormat="1"/>
    <row r="588" s="81" customFormat="1"/>
    <row r="589" s="81" customFormat="1"/>
    <row r="590" s="81" customFormat="1"/>
    <row r="591" s="81" customFormat="1"/>
    <row r="592" s="81" customFormat="1"/>
    <row r="593" s="81" customFormat="1"/>
    <row r="594" s="81" customFormat="1"/>
    <row r="595" s="81" customFormat="1"/>
    <row r="596" s="81" customFormat="1"/>
    <row r="597" s="81" customFormat="1"/>
    <row r="598" s="81" customFormat="1"/>
    <row r="599" s="81" customFormat="1"/>
    <row r="600" s="81" customFormat="1"/>
    <row r="601" s="81" customFormat="1"/>
    <row r="602" s="81" customFormat="1"/>
    <row r="603" s="81" customFormat="1"/>
    <row r="604" s="81" customFormat="1"/>
    <row r="605" s="81" customFormat="1"/>
    <row r="606" s="81" customFormat="1"/>
    <row r="607" s="81" customFormat="1"/>
    <row r="608" s="81" customFormat="1"/>
    <row r="609" s="81" customFormat="1"/>
    <row r="610" s="81" customFormat="1"/>
    <row r="611" s="81" customFormat="1"/>
    <row r="612" s="81" customFormat="1"/>
    <row r="613" s="81" customFormat="1"/>
    <row r="614" s="81" customFormat="1"/>
    <row r="615" s="81" customFormat="1"/>
    <row r="616" s="81" customFormat="1"/>
    <row r="617" s="81" customFormat="1"/>
    <row r="618" s="81" customFormat="1"/>
    <row r="619" s="81" customFormat="1"/>
    <row r="620" s="81" customFormat="1"/>
    <row r="621" s="81" customFormat="1"/>
    <row r="622" s="81" customFormat="1"/>
    <row r="623" s="81" customFormat="1"/>
    <row r="624" s="81" customFormat="1"/>
    <row r="625" s="81" customFormat="1"/>
    <row r="626" s="81" customFormat="1"/>
    <row r="627" s="81" customFormat="1"/>
    <row r="628" s="81" customFormat="1"/>
    <row r="629" s="81" customFormat="1"/>
    <row r="630" s="81" customFormat="1"/>
    <row r="631" s="81" customFormat="1"/>
    <row r="632" s="81" customFormat="1"/>
    <row r="633" s="81" customFormat="1"/>
    <row r="634" s="81" customFormat="1"/>
    <row r="635" s="81" customFormat="1"/>
    <row r="636" s="81" customFormat="1"/>
    <row r="637" s="81" customFormat="1"/>
    <row r="638" s="81" customFormat="1"/>
    <row r="639" s="81" customFormat="1"/>
    <row r="640" s="81" customFormat="1"/>
    <row r="641" s="81" customFormat="1"/>
    <row r="642" s="81" customFormat="1"/>
    <row r="643" s="81" customFormat="1"/>
    <row r="644" s="81" customFormat="1"/>
    <row r="645" s="81" customFormat="1"/>
    <row r="646" s="81" customFormat="1"/>
    <row r="647" s="81" customFormat="1"/>
    <row r="648" s="81" customFormat="1"/>
    <row r="649" s="81" customFormat="1"/>
    <row r="650" s="81" customFormat="1"/>
    <row r="651" s="81" customFormat="1"/>
    <row r="652" s="81" customFormat="1"/>
    <row r="653" s="81" customFormat="1"/>
    <row r="654" s="81" customFormat="1"/>
    <row r="655" s="81" customFormat="1"/>
    <row r="656" s="81" customFormat="1"/>
    <row r="657" s="81" customFormat="1"/>
    <row r="658" s="81" customFormat="1"/>
    <row r="659" s="81" customFormat="1"/>
    <row r="660" s="81" customFormat="1"/>
    <row r="661" s="81" customFormat="1"/>
    <row r="662" s="81" customFormat="1"/>
    <row r="663" s="81" customFormat="1"/>
    <row r="664" s="81" customFormat="1"/>
    <row r="665" s="81" customFormat="1"/>
    <row r="666" s="81" customFormat="1"/>
    <row r="667" s="81" customFormat="1"/>
    <row r="668" s="81" customFormat="1"/>
    <row r="669" s="81" customFormat="1"/>
    <row r="670" s="81" customFormat="1"/>
    <row r="671" s="81" customFormat="1"/>
    <row r="672" s="81" customFormat="1"/>
    <row r="673" s="81" customFormat="1"/>
    <row r="674" s="81" customFormat="1"/>
    <row r="675" s="81" customFormat="1"/>
    <row r="676" s="81" customFormat="1"/>
    <row r="677" s="81" customFormat="1"/>
    <row r="678" s="81" customFormat="1"/>
    <row r="679" s="81" customFormat="1"/>
    <row r="680" s="81" customFormat="1"/>
    <row r="681" s="81" customFormat="1"/>
    <row r="682" s="81" customFormat="1"/>
    <row r="683" s="81" customFormat="1"/>
    <row r="684" s="81" customFormat="1"/>
    <row r="685" s="81" customFormat="1"/>
    <row r="686" s="81" customFormat="1"/>
    <row r="687" s="81" customFormat="1"/>
    <row r="688" s="81" customFormat="1"/>
    <row r="689" s="81" customFormat="1"/>
    <row r="690" s="81" customFormat="1"/>
    <row r="691" s="81" customFormat="1"/>
    <row r="692" s="81" customFormat="1"/>
    <row r="693" s="81" customFormat="1"/>
    <row r="694" s="81" customFormat="1"/>
    <row r="695" s="81" customFormat="1"/>
    <row r="696" s="81" customFormat="1"/>
    <row r="697" s="81" customFormat="1"/>
    <row r="698" s="81" customFormat="1"/>
    <row r="699" s="81" customFormat="1"/>
    <row r="700" s="81" customFormat="1"/>
    <row r="701" s="81" customFormat="1"/>
    <row r="702" s="81" customFormat="1"/>
    <row r="703" s="81" customFormat="1"/>
    <row r="704" s="81" customFormat="1"/>
    <row r="705" s="81" customFormat="1"/>
    <row r="706" s="81" customFormat="1"/>
    <row r="707" s="81" customFormat="1"/>
    <row r="708" s="81" customFormat="1"/>
    <row r="709" s="81" customFormat="1"/>
    <row r="710" s="81" customFormat="1"/>
    <row r="711" s="81" customFormat="1"/>
    <row r="712" s="81" customFormat="1"/>
    <row r="713" s="81" customFormat="1"/>
    <row r="714" s="81" customFormat="1"/>
    <row r="715" s="81" customFormat="1"/>
    <row r="716" s="81" customFormat="1"/>
    <row r="717" s="81" customFormat="1"/>
    <row r="718" s="81" customFormat="1"/>
    <row r="719" s="81" customFormat="1"/>
    <row r="720" s="81" customFormat="1"/>
    <row r="721" s="81" customFormat="1"/>
    <row r="722" s="81" customFormat="1"/>
    <row r="723" s="81" customFormat="1"/>
    <row r="724" s="81" customFormat="1"/>
    <row r="725" s="81" customFormat="1"/>
    <row r="726" s="81" customFormat="1"/>
    <row r="727" s="81" customFormat="1"/>
    <row r="728" s="81" customFormat="1"/>
    <row r="729" s="81" customFormat="1"/>
    <row r="730" s="81" customFormat="1"/>
    <row r="731" s="81" customFormat="1"/>
    <row r="732" s="81" customFormat="1"/>
    <row r="733" s="81" customFormat="1"/>
    <row r="734" s="81" customFormat="1"/>
    <row r="735" s="81" customFormat="1"/>
    <row r="736" s="81" customFormat="1"/>
    <row r="737" s="81" customFormat="1"/>
    <row r="738" s="81" customFormat="1"/>
    <row r="739" s="81" customFormat="1"/>
    <row r="740" s="81" customFormat="1"/>
    <row r="741" s="81" customFormat="1"/>
    <row r="742" s="81" customFormat="1"/>
    <row r="743" s="81" customFormat="1"/>
    <row r="744" s="81" customFormat="1"/>
    <row r="745" s="81" customFormat="1"/>
    <row r="746" s="81" customFormat="1"/>
    <row r="747" s="81" customFormat="1"/>
    <row r="748" s="81" customFormat="1"/>
    <row r="749" s="81" customFormat="1"/>
    <row r="750" s="81" customFormat="1"/>
    <row r="751" s="81" customFormat="1"/>
    <row r="752" s="81" customFormat="1"/>
    <row r="753" s="81" customFormat="1"/>
    <row r="754" s="81" customFormat="1"/>
    <row r="755" s="81" customFormat="1"/>
    <row r="756" s="81" customFormat="1"/>
    <row r="757" s="81" customFormat="1"/>
    <row r="758" s="81" customFormat="1"/>
    <row r="759" s="81" customFormat="1"/>
    <row r="760" s="81" customFormat="1"/>
    <row r="761" s="81" customFormat="1"/>
    <row r="762" s="81" customFormat="1"/>
    <row r="763" s="81" customFormat="1"/>
    <row r="764" s="81" customFormat="1"/>
    <row r="765" s="81" customFormat="1"/>
    <row r="766" s="81" customFormat="1"/>
    <row r="767" s="81" customFormat="1"/>
    <row r="768" s="81" customFormat="1"/>
    <row r="769" s="81" customFormat="1"/>
    <row r="770" s="81" customFormat="1"/>
    <row r="771" s="81" customFormat="1"/>
    <row r="772" s="81" customFormat="1"/>
    <row r="773" s="81" customFormat="1"/>
    <row r="774" s="81" customFormat="1"/>
    <row r="775" s="81" customFormat="1"/>
    <row r="776" s="81" customFormat="1"/>
    <row r="777" s="81" customFormat="1"/>
    <row r="778" s="81" customFormat="1"/>
    <row r="779" s="81" customFormat="1"/>
    <row r="780" s="81" customFormat="1"/>
    <row r="781" s="81" customFormat="1"/>
    <row r="782" s="81" customFormat="1"/>
    <row r="783" s="81" customFormat="1"/>
    <row r="784" s="81" customFormat="1"/>
    <row r="785" s="81" customFormat="1"/>
    <row r="786" s="81" customFormat="1"/>
    <row r="787" s="81" customFormat="1"/>
    <row r="788" s="81" customFormat="1"/>
    <row r="789" s="81" customFormat="1"/>
    <row r="790" s="81" customFormat="1"/>
    <row r="791" s="81" customFormat="1"/>
    <row r="792" s="81" customFormat="1"/>
    <row r="793" s="81" customFormat="1"/>
    <row r="794" s="81" customFormat="1"/>
    <row r="795" s="81" customFormat="1"/>
    <row r="796" s="81" customFormat="1"/>
    <row r="797" s="81" customFormat="1"/>
    <row r="798" s="81" customFormat="1"/>
    <row r="799" s="81" customFormat="1"/>
    <row r="800" s="81" customFormat="1"/>
    <row r="801" s="81" customFormat="1"/>
    <row r="802" s="81" customFormat="1"/>
    <row r="803" s="81" customFormat="1"/>
    <row r="804" s="81" customFormat="1"/>
    <row r="805" s="81" customFormat="1"/>
    <row r="806" s="81" customFormat="1"/>
    <row r="807" s="81" customFormat="1"/>
    <row r="808" s="81" customFormat="1"/>
    <row r="809" s="81" customFormat="1"/>
    <row r="810" s="81" customFormat="1"/>
    <row r="811" s="81" customFormat="1"/>
    <row r="812" s="81" customFormat="1"/>
    <row r="813" s="81" customFormat="1"/>
    <row r="814" s="81" customFormat="1"/>
    <row r="815" s="81" customFormat="1"/>
    <row r="816" s="81" customFormat="1"/>
    <row r="817" s="81" customFormat="1"/>
    <row r="818" s="81" customFormat="1"/>
    <row r="819" s="81" customFormat="1"/>
    <row r="820" s="81" customFormat="1"/>
    <row r="821" s="81" customFormat="1"/>
    <row r="822" s="81" customFormat="1"/>
    <row r="823" s="81" customFormat="1"/>
    <row r="824" s="81" customFormat="1"/>
    <row r="825" s="81" customFormat="1"/>
    <row r="826" s="81" customFormat="1"/>
    <row r="827" s="81" customFormat="1"/>
    <row r="828" s="81" customFormat="1"/>
    <row r="829" s="81" customFormat="1"/>
    <row r="830" s="81" customFormat="1"/>
    <row r="831" s="81" customFormat="1"/>
    <row r="832" s="81" customFormat="1"/>
    <row r="833" s="81" customFormat="1"/>
    <row r="834" s="81" customFormat="1"/>
    <row r="835" s="81" customFormat="1"/>
    <row r="836" s="81" customFormat="1"/>
    <row r="837" s="81" customFormat="1"/>
    <row r="838" s="81" customFormat="1"/>
    <row r="839" s="81" customFormat="1"/>
    <row r="840" s="81" customFormat="1"/>
    <row r="848" s="81" customFormat="1"/>
    <row r="849" s="81" customFormat="1"/>
    <row r="850" s="81" customFormat="1"/>
    <row r="851" s="81" customFormat="1"/>
    <row r="852" s="81" customFormat="1"/>
    <row r="853" s="81" customFormat="1"/>
    <row r="854" s="81" customFormat="1"/>
    <row r="855" s="81" customFormat="1"/>
    <row r="856" s="81" customFormat="1"/>
    <row r="857" s="81" customFormat="1"/>
    <row r="858" s="81" customFormat="1"/>
    <row r="859" s="81" customFormat="1"/>
    <row r="860" s="81" customFormat="1"/>
    <row r="861" s="81" customFormat="1"/>
    <row r="862" s="81" customFormat="1"/>
    <row r="863" s="81" customFormat="1"/>
    <row r="864" s="81" customFormat="1"/>
    <row r="865" s="81" customFormat="1"/>
    <row r="866" s="81" customFormat="1"/>
    <row r="867" s="81" customFormat="1"/>
    <row r="868" s="81" customFormat="1"/>
    <row r="869" s="81" customFormat="1"/>
    <row r="870" s="81" customFormat="1"/>
    <row r="871" s="81" customFormat="1"/>
    <row r="872" s="81" customFormat="1"/>
    <row r="873" s="81" customFormat="1"/>
    <row r="874" s="81" customFormat="1"/>
    <row r="875" s="81" customFormat="1"/>
    <row r="876" s="81" customFormat="1"/>
    <row r="877" s="81" customFormat="1"/>
    <row r="878" s="81" customFormat="1"/>
    <row r="879" s="81" customFormat="1"/>
    <row r="880" s="81" customFormat="1"/>
    <row r="881" s="81" customFormat="1"/>
    <row r="882" s="81" customFormat="1"/>
    <row r="883" s="81" customFormat="1"/>
    <row r="884" s="81" customFormat="1"/>
    <row r="885" s="81" customFormat="1"/>
    <row r="886" s="81" customFormat="1"/>
    <row r="887" s="81" customFormat="1"/>
    <row r="888" s="81" customFormat="1"/>
    <row r="889" s="81" customFormat="1"/>
    <row r="890" s="81" customFormat="1"/>
    <row r="891" s="81" customFormat="1"/>
    <row r="892" s="81" customFormat="1"/>
    <row r="893" s="81" customFormat="1"/>
    <row r="894" s="81" customFormat="1"/>
    <row r="895" s="81" customFormat="1"/>
    <row r="896" s="81" customFormat="1"/>
    <row r="897" s="81" customFormat="1"/>
    <row r="898" s="81" customFormat="1"/>
    <row r="899" s="81" customFormat="1"/>
    <row r="900" s="81" customFormat="1"/>
    <row r="901" s="81" customFormat="1"/>
    <row r="902" s="81" customFormat="1"/>
    <row r="903" s="81" customFormat="1"/>
    <row r="904" s="81" customFormat="1"/>
    <row r="905" s="81" customFormat="1"/>
    <row r="906" s="81" customFormat="1"/>
    <row r="907" s="81" customFormat="1"/>
    <row r="908" s="81" customFormat="1"/>
    <row r="909" s="81" customFormat="1"/>
    <row r="910" s="81" customFormat="1"/>
    <row r="911" s="81" customFormat="1"/>
    <row r="912" s="81" customFormat="1"/>
    <row r="913" s="81" customFormat="1"/>
    <row r="914" s="81" customFormat="1"/>
    <row r="915" s="81" customFormat="1"/>
    <row r="916" s="81" customFormat="1"/>
    <row r="917" s="81" customFormat="1"/>
    <row r="918" s="81" customFormat="1"/>
    <row r="919" s="81" customFormat="1"/>
    <row r="920" s="81" customFormat="1"/>
    <row r="921" s="81" customFormat="1"/>
    <row r="922" s="81" customFormat="1"/>
    <row r="923" s="81" customFormat="1"/>
    <row r="924" s="81" customFormat="1"/>
    <row r="925" s="81" customFormat="1"/>
    <row r="926" s="81" customFormat="1"/>
    <row r="927" s="81" customFormat="1"/>
    <row r="928" s="81" customFormat="1"/>
    <row r="929" s="81" customFormat="1"/>
    <row r="930" s="81" customFormat="1"/>
    <row r="931" s="81" customFormat="1"/>
    <row r="932" s="81" customFormat="1"/>
    <row r="933" s="81" customFormat="1"/>
    <row r="934" s="81" customFormat="1"/>
    <row r="935" s="81" customFormat="1"/>
    <row r="936" s="81" customFormat="1"/>
    <row r="937" s="81" customFormat="1"/>
    <row r="938" s="81" customFormat="1"/>
    <row r="939" s="81" customFormat="1"/>
    <row r="940" s="81" customFormat="1"/>
    <row r="941" s="81" customFormat="1"/>
    <row r="942" s="81" customFormat="1"/>
    <row r="943" s="81" customFormat="1"/>
    <row r="944" s="81" customFormat="1"/>
    <row r="945" s="81" customFormat="1"/>
    <row r="946" s="81" customFormat="1"/>
    <row r="947" s="81" customFormat="1"/>
    <row r="948" s="81" customFormat="1"/>
  </sheetData>
  <autoFilter ref="A1:T948" xr:uid="{00000000-0009-0000-0000-000001000000}"/>
  <conditionalFormatting sqref="B1:B1048576">
    <cfRule type="duplicateValues" dxfId="318" priority="1"/>
  </conditionalFormatting>
  <conditionalFormatting sqref="B13">
    <cfRule type="duplicateValues" dxfId="317" priority="93"/>
    <cfRule type="duplicateValues" dxfId="316" priority="91"/>
    <cfRule type="duplicateValues" dxfId="315" priority="90"/>
    <cfRule type="duplicateValues" dxfId="314" priority="89"/>
  </conditionalFormatting>
  <conditionalFormatting sqref="B14">
    <cfRule type="duplicateValues" dxfId="313" priority="62"/>
    <cfRule type="duplicateValues" dxfId="312" priority="63"/>
    <cfRule type="duplicateValues" dxfId="311" priority="61"/>
  </conditionalFormatting>
  <conditionalFormatting sqref="B15">
    <cfRule type="duplicateValues" dxfId="310" priority="40"/>
    <cfRule type="duplicateValues" dxfId="309" priority="37"/>
    <cfRule type="duplicateValues" dxfId="308" priority="38"/>
    <cfRule type="duplicateValues" dxfId="307" priority="39"/>
  </conditionalFormatting>
  <conditionalFormatting sqref="B16">
    <cfRule type="duplicateValues" dxfId="306" priority="88"/>
  </conditionalFormatting>
  <conditionalFormatting sqref="B24">
    <cfRule type="duplicateValues" dxfId="305" priority="10"/>
  </conditionalFormatting>
  <conditionalFormatting sqref="B45">
    <cfRule type="duplicateValues" dxfId="304" priority="54"/>
    <cfRule type="duplicateValues" dxfId="303" priority="56"/>
    <cfRule type="duplicateValues" dxfId="302" priority="57"/>
    <cfRule type="duplicateValues" dxfId="301" priority="58"/>
    <cfRule type="duplicateValues" dxfId="300" priority="59"/>
    <cfRule type="duplicateValues" dxfId="299" priority="60"/>
  </conditionalFormatting>
  <conditionalFormatting sqref="B46 B43:B44">
    <cfRule type="duplicateValues" dxfId="298" priority="120"/>
  </conditionalFormatting>
  <conditionalFormatting sqref="B56:B57">
    <cfRule type="duplicateValues" dxfId="297" priority="112"/>
  </conditionalFormatting>
  <conditionalFormatting sqref="B59">
    <cfRule type="duplicateValues" dxfId="296" priority="97"/>
    <cfRule type="duplicateValues" dxfId="295" priority="95"/>
    <cfRule type="duplicateValues" dxfId="294" priority="94"/>
  </conditionalFormatting>
  <conditionalFormatting sqref="B59:B61 B1:B23 B63:B1048576 B25:B57">
    <cfRule type="duplicateValues" dxfId="293" priority="18"/>
  </conditionalFormatting>
  <conditionalFormatting sqref="B63:B65">
    <cfRule type="duplicateValues" dxfId="292" priority="65"/>
  </conditionalFormatting>
  <conditionalFormatting sqref="B66:B68">
    <cfRule type="duplicateValues" dxfId="291" priority="61385"/>
  </conditionalFormatting>
  <conditionalFormatting sqref="B69:B1048576 B1:B12 B17:B23 B47:B57 B60:B61 B25:B42">
    <cfRule type="duplicateValues" dxfId="290" priority="110"/>
  </conditionalFormatting>
  <conditionalFormatting sqref="B69:B1048576 B1:B13 B16:B23 B46:B57 B25:B44 B59:B61 B63:B65">
    <cfRule type="duplicateValues" dxfId="289" priority="64"/>
  </conditionalFormatting>
  <conditionalFormatting sqref="B69:B1048576 B17:B23 B1:B12 B47:B57 B25:B42 B59:B61">
    <cfRule type="duplicateValues" dxfId="288" priority="114"/>
  </conditionalFormatting>
  <conditionalFormatting sqref="B69:B1048576 B47:B57 B17:B23 B1:B12 B60:B61 B25:B42">
    <cfRule type="duplicateValues" dxfId="287" priority="113"/>
  </conditionalFormatting>
  <conditionalFormatting sqref="B69:C1048576 B30:B36 B1:C3 B48:B54 B17:B23 B7:C7 B6 B5:C5 B4">
    <cfRule type="duplicateValues" dxfId="286" priority="109"/>
  </conditionalFormatting>
  <conditionalFormatting sqref="B69:C1048576 B48:B54 B1:C3 B30:B36 B17:B23 B7:C7 B6 B5:C5 B4">
    <cfRule type="duplicateValues" dxfId="285" priority="108"/>
  </conditionalFormatting>
  <conditionalFormatting sqref="B69:C1048576">
    <cfRule type="duplicateValues" dxfId="284" priority="107"/>
  </conditionalFormatting>
  <conditionalFormatting sqref="C4">
    <cfRule type="duplicateValues" dxfId="283" priority="79"/>
    <cfRule type="duplicateValues" dxfId="282" priority="80"/>
    <cfRule type="duplicateValues" dxfId="281" priority="81"/>
  </conditionalFormatting>
  <conditionalFormatting sqref="C6">
    <cfRule type="duplicateValues" dxfId="280" priority="82"/>
    <cfRule type="duplicateValues" dxfId="279" priority="84"/>
    <cfRule type="duplicateValues" dxfId="278" priority="83"/>
  </conditionalFormatting>
  <conditionalFormatting sqref="C13">
    <cfRule type="duplicateValues" dxfId="277" priority="92"/>
  </conditionalFormatting>
  <conditionalFormatting sqref="C15">
    <cfRule type="duplicateValues" dxfId="276" priority="14"/>
    <cfRule type="duplicateValues" dxfId="275" priority="15"/>
    <cfRule type="duplicateValues" dxfId="274" priority="16"/>
    <cfRule type="duplicateValues" dxfId="273" priority="17"/>
    <cfRule type="duplicateValues" dxfId="272" priority="13"/>
  </conditionalFormatting>
  <conditionalFormatting sqref="C20">
    <cfRule type="duplicateValues" dxfId="271" priority="102"/>
    <cfRule type="duplicateValues" dxfId="270" priority="101"/>
  </conditionalFormatting>
  <conditionalFormatting sqref="C22">
    <cfRule type="duplicateValues" dxfId="269" priority="86"/>
    <cfRule type="duplicateValues" dxfId="268" priority="87"/>
    <cfRule type="duplicateValues" dxfId="267" priority="85"/>
  </conditionalFormatting>
  <conditionalFormatting sqref="C24">
    <cfRule type="duplicateValues" dxfId="266" priority="11"/>
  </conditionalFormatting>
  <conditionalFormatting sqref="C29">
    <cfRule type="duplicateValues" dxfId="265" priority="104"/>
    <cfRule type="duplicateValues" dxfId="264" priority="103"/>
    <cfRule type="duplicateValues" dxfId="263" priority="105"/>
    <cfRule type="duplicateValues" dxfId="262" priority="106"/>
  </conditionalFormatting>
  <conditionalFormatting sqref="C33">
    <cfRule type="duplicateValues" dxfId="261" priority="76"/>
    <cfRule type="duplicateValues" dxfId="260" priority="77"/>
    <cfRule type="duplicateValues" dxfId="259" priority="78"/>
  </conditionalFormatting>
  <conditionalFormatting sqref="C35">
    <cfRule type="duplicateValues" dxfId="258" priority="75"/>
    <cfRule type="duplicateValues" dxfId="257" priority="74"/>
    <cfRule type="duplicateValues" dxfId="256" priority="73"/>
  </conditionalFormatting>
  <conditionalFormatting sqref="C42">
    <cfRule type="duplicateValues" dxfId="255" priority="2"/>
  </conditionalFormatting>
  <conditionalFormatting sqref="C43">
    <cfRule type="duplicateValues" dxfId="254" priority="12"/>
  </conditionalFormatting>
  <conditionalFormatting sqref="C45">
    <cfRule type="duplicateValues" dxfId="253" priority="55"/>
  </conditionalFormatting>
  <conditionalFormatting sqref="C46">
    <cfRule type="duplicateValues" dxfId="252" priority="3"/>
  </conditionalFormatting>
  <conditionalFormatting sqref="C51">
    <cfRule type="duplicateValues" dxfId="251" priority="72"/>
    <cfRule type="duplicateValues" dxfId="250" priority="71"/>
    <cfRule type="duplicateValues" dxfId="249" priority="70"/>
  </conditionalFormatting>
  <conditionalFormatting sqref="C53">
    <cfRule type="duplicateValues" dxfId="248" priority="69"/>
    <cfRule type="duplicateValues" dxfId="247" priority="68"/>
    <cfRule type="duplicateValues" dxfId="246" priority="67"/>
  </conditionalFormatting>
  <conditionalFormatting sqref="C58">
    <cfRule type="duplicateValues" dxfId="245" priority="8"/>
    <cfRule type="duplicateValues" dxfId="244" priority="9"/>
  </conditionalFormatting>
  <conditionalFormatting sqref="C64">
    <cfRule type="duplicateValues" dxfId="243" priority="7"/>
  </conditionalFormatting>
  <conditionalFormatting sqref="C66">
    <cfRule type="duplicateValues" dxfId="242" priority="61384"/>
  </conditionalFormatting>
  <conditionalFormatting sqref="C69:C1048576 C1:C3 C17:C21 C23 C7:C12 C5 C34 C52 C54:C57 C36:C41 C47:C50 C60:C61 C25:C32">
    <cfRule type="duplicateValues" dxfId="241" priority="111"/>
  </conditionalFormatting>
  <conditionalFormatting sqref="C69:C1048576 C1:C13 C17:C23 C47:C57 C25:C41 C60:C61">
    <cfRule type="duplicateValues" dxfId="240" priority="66"/>
  </conditionalFormatting>
  <printOptions horizontalCentered="1"/>
  <pageMargins left="0.19685039370078741" right="0.23622047244094491" top="0.23622047244094491" bottom="0.19685039370078741" header="0.15748031496062992" footer="0.27559055118110237"/>
  <pageSetup paperSize="9" scale="60" fitToHeight="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915"/>
  <sheetViews>
    <sheetView topLeftCell="A19" zoomScale="118" zoomScaleNormal="118" workbookViewId="0">
      <selection activeCell="C42" sqref="C42"/>
    </sheetView>
  </sheetViews>
  <sheetFormatPr defaultColWidth="26.77734375" defaultRowHeight="13.2"/>
  <cols>
    <col min="1" max="1" width="3.33203125" style="81" bestFit="1" customWidth="1"/>
    <col min="2" max="2" width="42" style="97" bestFit="1" customWidth="1"/>
    <col min="3" max="3" width="21.6640625" style="97" bestFit="1" customWidth="1"/>
    <col min="4" max="12" width="7.6640625" style="98" bestFit="1" customWidth="1"/>
    <col min="13" max="18" width="8.77734375" style="98" bestFit="1" customWidth="1"/>
    <col min="19" max="19" width="8.33203125" style="98" bestFit="1" customWidth="1"/>
    <col min="20" max="20" width="4.33203125" style="81" bestFit="1" customWidth="1"/>
    <col min="21" max="21" width="51.6640625" style="81" bestFit="1" customWidth="1"/>
    <col min="22" max="22" width="7.6640625" style="81" bestFit="1" customWidth="1"/>
    <col min="23" max="16384" width="26.77734375" style="81"/>
  </cols>
  <sheetData>
    <row r="1" spans="1:24">
      <c r="A1" s="113"/>
      <c r="B1" s="114" t="s">
        <v>460</v>
      </c>
      <c r="C1" s="114"/>
      <c r="D1" s="115">
        <v>1</v>
      </c>
      <c r="E1" s="115">
        <v>2</v>
      </c>
      <c r="F1" s="115">
        <v>3</v>
      </c>
      <c r="G1" s="116">
        <v>4</v>
      </c>
      <c r="H1" s="115">
        <v>5</v>
      </c>
      <c r="I1" s="115">
        <v>6</v>
      </c>
      <c r="J1" s="115">
        <v>7</v>
      </c>
      <c r="K1" s="115">
        <v>8</v>
      </c>
      <c r="L1" s="115">
        <v>9</v>
      </c>
      <c r="M1" s="115">
        <v>10</v>
      </c>
      <c r="N1" s="116">
        <v>11</v>
      </c>
      <c r="O1" s="115">
        <v>12</v>
      </c>
      <c r="P1" s="115">
        <v>13</v>
      </c>
      <c r="Q1" s="115">
        <v>14</v>
      </c>
      <c r="R1" s="115">
        <v>15</v>
      </c>
      <c r="S1" s="117" t="s">
        <v>366</v>
      </c>
      <c r="T1" s="113"/>
    </row>
    <row r="2" spans="1:24">
      <c r="A2" s="113">
        <v>1</v>
      </c>
      <c r="B2" s="156" t="s">
        <v>229</v>
      </c>
      <c r="C2" s="157">
        <v>101475240602</v>
      </c>
      <c r="D2" s="158"/>
      <c r="E2" s="158">
        <v>569</v>
      </c>
      <c r="F2" s="158">
        <v>1101</v>
      </c>
      <c r="G2" s="159">
        <v>704</v>
      </c>
      <c r="H2" s="158">
        <v>951</v>
      </c>
      <c r="I2" s="158"/>
      <c r="J2" s="160">
        <v>848</v>
      </c>
      <c r="K2" s="158">
        <v>1034</v>
      </c>
      <c r="L2" s="158"/>
      <c r="M2" s="158">
        <v>725</v>
      </c>
      <c r="N2" s="158">
        <v>957</v>
      </c>
      <c r="O2" s="158">
        <v>1029</v>
      </c>
      <c r="P2" s="159"/>
      <c r="Q2" s="158">
        <v>1144</v>
      </c>
      <c r="R2" s="161">
        <v>969</v>
      </c>
      <c r="S2" s="158">
        <f t="shared" ref="S2:S37" si="0">SUM(D2:R2)</f>
        <v>10031</v>
      </c>
      <c r="T2" s="113">
        <f t="shared" ref="T2:T37" si="1">COUNT(D2:R2)</f>
        <v>11</v>
      </c>
      <c r="U2" s="81" t="e">
        <f>VLOOKUP(C2,#REF!,3,0)</f>
        <v>#REF!</v>
      </c>
      <c r="V2" s="81" t="e">
        <f t="shared" ref="V2:V37" si="2">U2=B2</f>
        <v>#REF!</v>
      </c>
      <c r="W2" s="81">
        <f>VLOOKUP(B2,'[1]Nilesh Final (2)'!$B:$AJ,34,0)</f>
        <v>22541</v>
      </c>
      <c r="X2" s="81">
        <f>VLOOKUP(B2,'[1]Nilesh Final (2)'!$B:$AJ,35,0)</f>
        <v>24</v>
      </c>
    </row>
    <row r="3" spans="1:24">
      <c r="A3" s="113">
        <v>2</v>
      </c>
      <c r="B3" s="156" t="s">
        <v>228</v>
      </c>
      <c r="C3" s="157">
        <v>101492178974</v>
      </c>
      <c r="D3" s="158"/>
      <c r="E3" s="158">
        <v>569</v>
      </c>
      <c r="F3" s="158">
        <v>1101</v>
      </c>
      <c r="G3" s="159">
        <v>704</v>
      </c>
      <c r="H3" s="158">
        <v>951</v>
      </c>
      <c r="I3" s="158"/>
      <c r="J3" s="160">
        <v>848</v>
      </c>
      <c r="K3" s="158">
        <v>1034</v>
      </c>
      <c r="L3" s="158">
        <v>1051</v>
      </c>
      <c r="M3" s="158">
        <v>725</v>
      </c>
      <c r="N3" s="158">
        <v>957</v>
      </c>
      <c r="O3" s="158">
        <v>1029</v>
      </c>
      <c r="P3" s="159"/>
      <c r="Q3" s="158">
        <v>1144</v>
      </c>
      <c r="R3" s="161">
        <v>969</v>
      </c>
      <c r="S3" s="158">
        <f t="shared" si="0"/>
        <v>11082</v>
      </c>
      <c r="T3" s="113">
        <f t="shared" si="1"/>
        <v>12</v>
      </c>
      <c r="U3" s="81" t="e">
        <f>VLOOKUP(C3,#REF!,3,0)</f>
        <v>#REF!</v>
      </c>
      <c r="V3" s="81" t="e">
        <f t="shared" si="2"/>
        <v>#REF!</v>
      </c>
      <c r="W3" s="81">
        <f>VLOOKUP(B3,'[1]Nilesh Final (2)'!$B:$AJ,34,0)</f>
        <v>26068</v>
      </c>
      <c r="X3" s="81">
        <f>VLOOKUP(B3,'[1]Nilesh Final (2)'!$B:$AJ,35,0)</f>
        <v>28</v>
      </c>
    </row>
    <row r="4" spans="1:24">
      <c r="A4" s="113">
        <v>3</v>
      </c>
      <c r="B4" s="156" t="s">
        <v>215</v>
      </c>
      <c r="C4" s="157">
        <v>101603294918</v>
      </c>
      <c r="D4" s="158"/>
      <c r="E4" s="158"/>
      <c r="F4" s="158"/>
      <c r="G4" s="159">
        <v>704</v>
      </c>
      <c r="H4" s="158">
        <v>951</v>
      </c>
      <c r="I4" s="158"/>
      <c r="J4" s="160">
        <v>848</v>
      </c>
      <c r="K4" s="158">
        <v>1034</v>
      </c>
      <c r="L4" s="158">
        <v>1051</v>
      </c>
      <c r="M4" s="158">
        <v>725</v>
      </c>
      <c r="N4" s="158">
        <v>957</v>
      </c>
      <c r="O4" s="158">
        <v>1029</v>
      </c>
      <c r="P4" s="159"/>
      <c r="Q4" s="158">
        <v>1144</v>
      </c>
      <c r="R4" s="161">
        <v>969</v>
      </c>
      <c r="S4" s="158">
        <f t="shared" si="0"/>
        <v>9412</v>
      </c>
      <c r="T4" s="113">
        <f t="shared" si="1"/>
        <v>10</v>
      </c>
      <c r="U4" s="81" t="e">
        <f>VLOOKUP(C4,#REF!,3,0)</f>
        <v>#REF!</v>
      </c>
      <c r="V4" s="81" t="e">
        <f t="shared" si="2"/>
        <v>#REF!</v>
      </c>
      <c r="W4" s="81">
        <f>VLOOKUP(B4,'[1]Nilesh Final (2)'!$B:$AJ,34,0)</f>
        <v>21255</v>
      </c>
      <c r="X4" s="81">
        <f>VLOOKUP(B4,'[1]Nilesh Final (2)'!$B:$AJ,35,0)</f>
        <v>22</v>
      </c>
    </row>
    <row r="5" spans="1:24">
      <c r="A5" s="113">
        <v>4</v>
      </c>
      <c r="B5" s="156" t="s">
        <v>199</v>
      </c>
      <c r="C5" s="157">
        <v>101944505682</v>
      </c>
      <c r="D5" s="158"/>
      <c r="E5" s="158">
        <v>569</v>
      </c>
      <c r="F5" s="158">
        <v>1101</v>
      </c>
      <c r="G5" s="159">
        <v>704</v>
      </c>
      <c r="H5" s="158">
        <v>951</v>
      </c>
      <c r="I5" s="158"/>
      <c r="J5" s="160">
        <v>848</v>
      </c>
      <c r="K5" s="158"/>
      <c r="L5" s="158">
        <v>1051</v>
      </c>
      <c r="M5" s="158">
        <v>725</v>
      </c>
      <c r="N5" s="158">
        <v>957</v>
      </c>
      <c r="O5" s="158">
        <v>1029</v>
      </c>
      <c r="P5" s="159"/>
      <c r="Q5" s="158"/>
      <c r="R5" s="161">
        <v>727</v>
      </c>
      <c r="S5" s="158">
        <f t="shared" si="0"/>
        <v>8662</v>
      </c>
      <c r="T5" s="113">
        <f t="shared" si="1"/>
        <v>10</v>
      </c>
      <c r="U5" s="81" t="e">
        <f>VLOOKUP(C5,#REF!,3,0)</f>
        <v>#REF!</v>
      </c>
      <c r="V5" s="81" t="e">
        <f t="shared" si="2"/>
        <v>#REF!</v>
      </c>
      <c r="W5" s="81">
        <f>VLOOKUP(B5,'[1]Nilesh Final (2)'!$B:$AJ,34,0)</f>
        <v>20153</v>
      </c>
      <c r="X5" s="81">
        <f>VLOOKUP(B5,'[1]Nilesh Final (2)'!$B:$AJ,35,0)</f>
        <v>22</v>
      </c>
    </row>
    <row r="6" spans="1:24">
      <c r="A6" s="113">
        <v>5</v>
      </c>
      <c r="B6" s="156" t="s">
        <v>189</v>
      </c>
      <c r="C6" s="157">
        <v>102052667942</v>
      </c>
      <c r="D6" s="158"/>
      <c r="E6" s="158">
        <v>569</v>
      </c>
      <c r="F6" s="158"/>
      <c r="G6" s="159"/>
      <c r="H6" s="158"/>
      <c r="I6" s="158"/>
      <c r="J6" s="160"/>
      <c r="K6" s="158"/>
      <c r="L6" s="158"/>
      <c r="M6" s="158"/>
      <c r="N6" s="158"/>
      <c r="O6" s="158"/>
      <c r="P6" s="159"/>
      <c r="Q6" s="158">
        <v>1144</v>
      </c>
      <c r="R6" s="161">
        <v>749</v>
      </c>
      <c r="S6" s="158">
        <f t="shared" si="0"/>
        <v>2462</v>
      </c>
      <c r="T6" s="113">
        <f t="shared" si="1"/>
        <v>3</v>
      </c>
      <c r="U6" s="81" t="e">
        <f>VLOOKUP(C6,#REF!,3,0)</f>
        <v>#REF!</v>
      </c>
      <c r="V6" s="81" t="e">
        <f t="shared" si="2"/>
        <v>#REF!</v>
      </c>
      <c r="W6" s="81">
        <f>VLOOKUP(B6,'[1]Nilesh Final (2)'!$B:$AJ,34,0)</f>
        <v>12732</v>
      </c>
      <c r="X6" s="81">
        <f>VLOOKUP(B6,'[1]Nilesh Final (2)'!$B:$AJ,35,0)</f>
        <v>14</v>
      </c>
    </row>
    <row r="7" spans="1:24">
      <c r="A7" s="113">
        <v>6</v>
      </c>
      <c r="B7" s="156" t="s">
        <v>214</v>
      </c>
      <c r="C7" s="157">
        <v>101826609019</v>
      </c>
      <c r="D7" s="158"/>
      <c r="E7" s="158">
        <v>569</v>
      </c>
      <c r="F7" s="158">
        <v>1101</v>
      </c>
      <c r="G7" s="159">
        <v>704</v>
      </c>
      <c r="H7" s="158">
        <v>951</v>
      </c>
      <c r="I7" s="158"/>
      <c r="J7" s="160"/>
      <c r="K7" s="158"/>
      <c r="L7" s="158">
        <v>1051</v>
      </c>
      <c r="M7" s="158">
        <v>725</v>
      </c>
      <c r="N7" s="158">
        <v>957</v>
      </c>
      <c r="O7" s="158">
        <v>1029</v>
      </c>
      <c r="P7" s="159"/>
      <c r="Q7" s="158">
        <v>1144</v>
      </c>
      <c r="R7" s="161">
        <v>969</v>
      </c>
      <c r="S7" s="158">
        <f t="shared" si="0"/>
        <v>9200</v>
      </c>
      <c r="T7" s="113">
        <f t="shared" si="1"/>
        <v>10</v>
      </c>
      <c r="U7" s="81" t="e">
        <f>VLOOKUP(C7,#REF!,3,0)</f>
        <v>#REF!</v>
      </c>
      <c r="V7" s="81" t="e">
        <f t="shared" si="2"/>
        <v>#REF!</v>
      </c>
      <c r="W7" s="81">
        <f>VLOOKUP(B7,'[1]Nilesh Final (2)'!$B:$AJ,34,0)</f>
        <v>19145</v>
      </c>
      <c r="X7" s="81">
        <f>VLOOKUP(B7,'[1]Nilesh Final (2)'!$B:$AJ,35,0)</f>
        <v>21</v>
      </c>
    </row>
    <row r="8" spans="1:24">
      <c r="A8" s="113">
        <v>7</v>
      </c>
      <c r="B8" s="162" t="s">
        <v>429</v>
      </c>
      <c r="C8" s="157">
        <v>101951607397</v>
      </c>
      <c r="D8" s="158"/>
      <c r="E8" s="158">
        <v>601</v>
      </c>
      <c r="F8" s="158"/>
      <c r="G8" s="159"/>
      <c r="H8" s="158"/>
      <c r="I8" s="158"/>
      <c r="J8" s="160"/>
      <c r="K8" s="158">
        <v>1034</v>
      </c>
      <c r="L8" s="158">
        <v>1051</v>
      </c>
      <c r="M8" s="158">
        <v>725</v>
      </c>
      <c r="N8" s="158"/>
      <c r="O8" s="158"/>
      <c r="P8" s="159"/>
      <c r="Q8" s="158"/>
      <c r="R8" s="161"/>
      <c r="S8" s="158">
        <f t="shared" si="0"/>
        <v>3411</v>
      </c>
      <c r="T8" s="113">
        <f t="shared" si="1"/>
        <v>4</v>
      </c>
      <c r="U8" s="81" t="e">
        <f>VLOOKUP(C8,#REF!,3,0)</f>
        <v>#REF!</v>
      </c>
      <c r="V8" s="81" t="e">
        <f t="shared" si="2"/>
        <v>#REF!</v>
      </c>
      <c r="W8" s="81">
        <f>VLOOKUP(B8,'[1]Nilesh Final (2)'!$B:$AJ,34,0)</f>
        <v>7048</v>
      </c>
      <c r="X8" s="81">
        <f>VLOOKUP(B8,'[1]Nilesh Final (2)'!$B:$AJ,35,0)</f>
        <v>9</v>
      </c>
    </row>
    <row r="9" spans="1:24">
      <c r="A9" s="113">
        <v>8</v>
      </c>
      <c r="B9" s="156" t="s">
        <v>225</v>
      </c>
      <c r="C9" s="157">
        <v>101486099649</v>
      </c>
      <c r="D9" s="158"/>
      <c r="E9" s="158"/>
      <c r="F9" s="158"/>
      <c r="G9" s="159"/>
      <c r="H9" s="158"/>
      <c r="I9" s="158"/>
      <c r="J9" s="160"/>
      <c r="K9" s="158"/>
      <c r="L9" s="158">
        <v>1051</v>
      </c>
      <c r="M9" s="158"/>
      <c r="N9" s="158"/>
      <c r="O9" s="158"/>
      <c r="P9" s="159"/>
      <c r="Q9" s="158"/>
      <c r="R9" s="161"/>
      <c r="S9" s="158">
        <f t="shared" si="0"/>
        <v>1051</v>
      </c>
      <c r="T9" s="113">
        <f t="shared" si="1"/>
        <v>1</v>
      </c>
      <c r="U9" s="81" t="e">
        <f>VLOOKUP(C9,#REF!,3,0)</f>
        <v>#REF!</v>
      </c>
      <c r="V9" s="81" t="e">
        <f t="shared" si="2"/>
        <v>#REF!</v>
      </c>
      <c r="W9" s="81">
        <f>VLOOKUP(B9,'[1]Nilesh Final (2)'!$B:$AJ,34,0)</f>
        <v>3502</v>
      </c>
      <c r="X9" s="81">
        <f>VLOOKUP(B9,'[1]Nilesh Final (2)'!$B:$AJ,35,0)</f>
        <v>4</v>
      </c>
    </row>
    <row r="10" spans="1:24">
      <c r="A10" s="113">
        <v>1</v>
      </c>
      <c r="B10" s="99" t="s">
        <v>174</v>
      </c>
      <c r="C10" s="157">
        <v>102125816854</v>
      </c>
      <c r="D10" s="158"/>
      <c r="E10" s="158"/>
      <c r="F10" s="158"/>
      <c r="G10" s="159"/>
      <c r="H10" s="158">
        <v>550</v>
      </c>
      <c r="I10" s="158"/>
      <c r="J10" s="160">
        <v>550</v>
      </c>
      <c r="K10" s="158"/>
      <c r="L10" s="158"/>
      <c r="M10" s="158"/>
      <c r="N10" s="158"/>
      <c r="O10" s="158"/>
      <c r="P10" s="159"/>
      <c r="Q10" s="158"/>
      <c r="R10" s="161"/>
      <c r="S10" s="158">
        <f t="shared" si="0"/>
        <v>1100</v>
      </c>
      <c r="T10" s="113">
        <f t="shared" si="1"/>
        <v>2</v>
      </c>
      <c r="U10" s="81" t="e">
        <f>VLOOKUP(C10,#REF!,3,0)</f>
        <v>#REF!</v>
      </c>
      <c r="V10" s="81" t="e">
        <f t="shared" si="2"/>
        <v>#REF!</v>
      </c>
      <c r="W10" s="81">
        <f>VLOOKUP(B10,'[1]Nilesh Final (2)'!$B:$AJ,34,0)</f>
        <v>1650</v>
      </c>
      <c r="X10" s="81">
        <f>VLOOKUP(B10,'[1]Nilesh Final (2)'!$B:$AJ,35,0)</f>
        <v>3</v>
      </c>
    </row>
    <row r="11" spans="1:24">
      <c r="A11" s="113">
        <v>2</v>
      </c>
      <c r="B11" s="91" t="s">
        <v>419</v>
      </c>
      <c r="C11" s="157" t="s">
        <v>419</v>
      </c>
      <c r="D11" s="158"/>
      <c r="E11" s="158"/>
      <c r="F11" s="158"/>
      <c r="G11" s="159"/>
      <c r="H11" s="158"/>
      <c r="I11" s="158"/>
      <c r="J11" s="160">
        <v>1374</v>
      </c>
      <c r="K11" s="158">
        <v>673</v>
      </c>
      <c r="L11" s="158">
        <v>756</v>
      </c>
      <c r="M11" s="158"/>
      <c r="N11" s="158"/>
      <c r="O11" s="158"/>
      <c r="P11" s="159"/>
      <c r="Q11" s="158"/>
      <c r="R11" s="161"/>
      <c r="S11" s="158">
        <f t="shared" si="0"/>
        <v>2803</v>
      </c>
      <c r="T11" s="113">
        <f t="shared" si="1"/>
        <v>3</v>
      </c>
      <c r="U11" s="81" t="e">
        <f>VLOOKUP(C11,#REF!,3,0)</f>
        <v>#REF!</v>
      </c>
      <c r="V11" s="81" t="e">
        <f t="shared" si="2"/>
        <v>#REF!</v>
      </c>
      <c r="W11" s="81">
        <f>VLOOKUP(B11,'[1]Nilesh Final (2)'!$B:$AJ,34,0)</f>
        <v>12483</v>
      </c>
      <c r="X11" s="81">
        <f>VLOOKUP(B11,'[1]Nilesh Final (2)'!$B:$AJ,35,0)</f>
        <v>14</v>
      </c>
    </row>
    <row r="12" spans="1:24">
      <c r="A12" s="113">
        <v>3</v>
      </c>
      <c r="B12" s="156" t="s">
        <v>218</v>
      </c>
      <c r="C12" s="157">
        <v>101818174092</v>
      </c>
      <c r="D12" s="158"/>
      <c r="E12" s="158">
        <v>661</v>
      </c>
      <c r="F12" s="158">
        <v>550</v>
      </c>
      <c r="G12" s="159">
        <v>1097</v>
      </c>
      <c r="H12" s="158">
        <v>755</v>
      </c>
      <c r="I12" s="158"/>
      <c r="J12" s="160"/>
      <c r="K12" s="158">
        <v>789</v>
      </c>
      <c r="L12" s="158">
        <v>756</v>
      </c>
      <c r="M12" s="158">
        <v>1261</v>
      </c>
      <c r="N12" s="158">
        <v>1152</v>
      </c>
      <c r="O12" s="158"/>
      <c r="P12" s="159"/>
      <c r="Q12" s="158"/>
      <c r="R12" s="161"/>
      <c r="S12" s="158">
        <f t="shared" si="0"/>
        <v>7021</v>
      </c>
      <c r="T12" s="113">
        <f t="shared" si="1"/>
        <v>8</v>
      </c>
      <c r="U12" s="81" t="e">
        <f>VLOOKUP(C12,#REF!,3,0)</f>
        <v>#REF!</v>
      </c>
      <c r="V12" s="81" t="e">
        <f t="shared" si="2"/>
        <v>#REF!</v>
      </c>
      <c r="W12" s="81">
        <f>VLOOKUP(B12,'[1]Nilesh Final (2)'!$B:$AJ,34,0)</f>
        <v>22134</v>
      </c>
      <c r="X12" s="81">
        <f>VLOOKUP(B12,'[1]Nilesh Final (2)'!$B:$AJ,35,0)</f>
        <v>24</v>
      </c>
    </row>
    <row r="13" spans="1:24">
      <c r="A13" s="113">
        <v>4</v>
      </c>
      <c r="B13" s="156" t="s">
        <v>198</v>
      </c>
      <c r="C13" s="157">
        <v>102004077854</v>
      </c>
      <c r="D13" s="158"/>
      <c r="E13" s="158">
        <v>661</v>
      </c>
      <c r="F13" s="158">
        <v>550</v>
      </c>
      <c r="G13" s="159">
        <v>1097</v>
      </c>
      <c r="H13" s="158">
        <v>755</v>
      </c>
      <c r="I13" s="158"/>
      <c r="J13" s="160">
        <v>1814</v>
      </c>
      <c r="K13" s="158">
        <v>789</v>
      </c>
      <c r="L13" s="158">
        <v>756</v>
      </c>
      <c r="M13" s="158">
        <v>1261</v>
      </c>
      <c r="N13" s="158">
        <v>1152</v>
      </c>
      <c r="O13" s="158"/>
      <c r="P13" s="159"/>
      <c r="Q13" s="158"/>
      <c r="R13" s="161"/>
      <c r="S13" s="158">
        <f t="shared" si="0"/>
        <v>8835</v>
      </c>
      <c r="T13" s="113">
        <f t="shared" si="1"/>
        <v>9</v>
      </c>
      <c r="U13" s="81" t="e">
        <f>VLOOKUP(C13,#REF!,3,0)</f>
        <v>#REF!</v>
      </c>
      <c r="V13" s="81" t="e">
        <f t="shared" si="2"/>
        <v>#REF!</v>
      </c>
      <c r="W13" s="81">
        <f>VLOOKUP(B13,'[1]Nilesh Final (2)'!$B:$AJ,34,0)</f>
        <v>20498</v>
      </c>
      <c r="X13" s="81">
        <f>VLOOKUP(B13,'[1]Nilesh Final (2)'!$B:$AJ,35,0)</f>
        <v>21</v>
      </c>
    </row>
    <row r="14" spans="1:24">
      <c r="A14" s="113">
        <v>5</v>
      </c>
      <c r="B14" s="156" t="s">
        <v>193</v>
      </c>
      <c r="C14" s="157">
        <v>101817173110</v>
      </c>
      <c r="D14" s="158"/>
      <c r="E14" s="158">
        <v>661</v>
      </c>
      <c r="F14" s="158">
        <f>990+550</f>
        <v>1540</v>
      </c>
      <c r="G14" s="159">
        <v>1097</v>
      </c>
      <c r="H14" s="158">
        <v>755</v>
      </c>
      <c r="I14" s="158"/>
      <c r="J14" s="160">
        <v>1814</v>
      </c>
      <c r="K14" s="158">
        <f>703+789</f>
        <v>1492</v>
      </c>
      <c r="L14" s="158">
        <v>756</v>
      </c>
      <c r="M14" s="158">
        <v>1261</v>
      </c>
      <c r="N14" s="158">
        <v>1152</v>
      </c>
      <c r="O14" s="158"/>
      <c r="P14" s="159"/>
      <c r="Q14" s="158"/>
      <c r="R14" s="161"/>
      <c r="S14" s="158">
        <f t="shared" si="0"/>
        <v>10528</v>
      </c>
      <c r="T14" s="113">
        <f t="shared" si="1"/>
        <v>9</v>
      </c>
      <c r="U14" s="81" t="e">
        <f>VLOOKUP(C14,#REF!,3,0)</f>
        <v>#REF!</v>
      </c>
      <c r="V14" s="81" t="e">
        <f t="shared" si="2"/>
        <v>#REF!</v>
      </c>
      <c r="W14" s="81">
        <f>VLOOKUP(B14,'[1]Nilesh Final (2)'!$B:$AJ,34,0)</f>
        <v>24780</v>
      </c>
      <c r="X14" s="81">
        <f>VLOOKUP(B14,'[1]Nilesh Final (2)'!$B:$AJ,35,0)</f>
        <v>26</v>
      </c>
    </row>
    <row r="15" spans="1:24">
      <c r="A15" s="113">
        <v>6</v>
      </c>
      <c r="B15" s="156" t="s">
        <v>175</v>
      </c>
      <c r="C15" s="157">
        <v>102120964651</v>
      </c>
      <c r="D15" s="158"/>
      <c r="E15" s="158">
        <v>661</v>
      </c>
      <c r="F15" s="158">
        <v>550</v>
      </c>
      <c r="G15" s="159">
        <v>1097</v>
      </c>
      <c r="H15" s="158">
        <v>755</v>
      </c>
      <c r="I15" s="158"/>
      <c r="J15" s="160">
        <v>1814</v>
      </c>
      <c r="K15" s="158">
        <v>789</v>
      </c>
      <c r="L15" s="158">
        <v>756</v>
      </c>
      <c r="M15" s="158">
        <v>1261</v>
      </c>
      <c r="N15" s="158">
        <v>1152</v>
      </c>
      <c r="O15" s="158"/>
      <c r="P15" s="159"/>
      <c r="Q15" s="158"/>
      <c r="R15" s="161"/>
      <c r="S15" s="158">
        <f t="shared" si="0"/>
        <v>8835</v>
      </c>
      <c r="T15" s="113">
        <f t="shared" si="1"/>
        <v>9</v>
      </c>
      <c r="U15" s="81" t="e">
        <f>VLOOKUP(C15,#REF!,3,0)</f>
        <v>#REF!</v>
      </c>
      <c r="V15" s="81" t="e">
        <f t="shared" si="2"/>
        <v>#REF!</v>
      </c>
      <c r="W15" s="81">
        <f>VLOOKUP(B15,'[1]Nilesh Final (2)'!$B:$AJ,34,0)</f>
        <v>22894</v>
      </c>
      <c r="X15" s="81">
        <f>VLOOKUP(B15,'[1]Nilesh Final (2)'!$B:$AJ,35,0)</f>
        <v>23</v>
      </c>
    </row>
    <row r="16" spans="1:24">
      <c r="A16" s="113">
        <v>1</v>
      </c>
      <c r="B16" s="156" t="s">
        <v>177</v>
      </c>
      <c r="C16" s="157">
        <v>101432431093</v>
      </c>
      <c r="D16" s="158"/>
      <c r="E16" s="158">
        <v>661</v>
      </c>
      <c r="F16" s="158">
        <v>550</v>
      </c>
      <c r="G16" s="159">
        <v>1097</v>
      </c>
      <c r="H16" s="158">
        <v>755</v>
      </c>
      <c r="I16" s="158"/>
      <c r="J16" s="160">
        <v>1814</v>
      </c>
      <c r="K16" s="158">
        <v>789</v>
      </c>
      <c r="L16" s="158">
        <v>756</v>
      </c>
      <c r="M16" s="158">
        <v>1261</v>
      </c>
      <c r="N16" s="158">
        <v>1152</v>
      </c>
      <c r="O16" s="158"/>
      <c r="P16" s="159"/>
      <c r="Q16" s="158"/>
      <c r="R16" s="161"/>
      <c r="S16" s="158">
        <f t="shared" si="0"/>
        <v>8835</v>
      </c>
      <c r="T16" s="113">
        <f t="shared" si="1"/>
        <v>9</v>
      </c>
      <c r="U16" s="81" t="e">
        <f>VLOOKUP(C16,#REF!,3,0)</f>
        <v>#REF!</v>
      </c>
      <c r="V16" s="81" t="e">
        <f t="shared" si="2"/>
        <v>#REF!</v>
      </c>
      <c r="W16" s="81">
        <f>VLOOKUP(B16,'[1]Nilesh Final (2)'!$B:$AJ,34,0)</f>
        <v>25175</v>
      </c>
      <c r="X16" s="81">
        <f>VLOOKUP(B16,'[1]Nilesh Final (2)'!$B:$AJ,35,0)</f>
        <v>26</v>
      </c>
    </row>
    <row r="17" spans="1:24">
      <c r="A17" s="113">
        <v>2</v>
      </c>
      <c r="B17" s="156" t="s">
        <v>232</v>
      </c>
      <c r="C17" s="157">
        <v>101407413648</v>
      </c>
      <c r="D17" s="158"/>
      <c r="E17" s="158"/>
      <c r="F17" s="158">
        <f>823+959</f>
        <v>1782</v>
      </c>
      <c r="G17" s="159">
        <v>846</v>
      </c>
      <c r="H17" s="158">
        <v>905</v>
      </c>
      <c r="I17" s="158"/>
      <c r="J17" s="160">
        <v>638</v>
      </c>
      <c r="K17" s="158">
        <v>1109</v>
      </c>
      <c r="L17" s="158">
        <v>1005</v>
      </c>
      <c r="M17" s="158">
        <v>832</v>
      </c>
      <c r="N17" s="158">
        <v>716</v>
      </c>
      <c r="O17" s="158">
        <v>622</v>
      </c>
      <c r="P17" s="159"/>
      <c r="Q17" s="158">
        <v>1104</v>
      </c>
      <c r="R17" s="161">
        <v>1126</v>
      </c>
      <c r="S17" s="158">
        <f t="shared" si="0"/>
        <v>10685</v>
      </c>
      <c r="T17" s="113">
        <f t="shared" si="1"/>
        <v>11</v>
      </c>
      <c r="U17" s="81" t="e">
        <f>VLOOKUP(C17,#REF!,3,0)</f>
        <v>#REF!</v>
      </c>
      <c r="V17" s="81" t="e">
        <f t="shared" si="2"/>
        <v>#REF!</v>
      </c>
      <c r="W17" s="81">
        <f>VLOOKUP(B17,'[1]Nilesh Final (2)'!$B:$AJ,34,0)</f>
        <v>24182</v>
      </c>
      <c r="X17" s="81">
        <f>VLOOKUP(B17,'[1]Nilesh Final (2)'!$B:$AJ,35,0)</f>
        <v>28</v>
      </c>
    </row>
    <row r="18" spans="1:24">
      <c r="A18" s="113">
        <v>3</v>
      </c>
      <c r="B18" s="156" t="s">
        <v>224</v>
      </c>
      <c r="C18" s="157">
        <v>101373078654</v>
      </c>
      <c r="D18" s="158"/>
      <c r="E18" s="158"/>
      <c r="F18" s="158">
        <v>959</v>
      </c>
      <c r="G18" s="159">
        <v>443</v>
      </c>
      <c r="H18" s="158">
        <v>905</v>
      </c>
      <c r="I18" s="158"/>
      <c r="J18" s="160">
        <v>638</v>
      </c>
      <c r="K18" s="158">
        <v>1109</v>
      </c>
      <c r="L18" s="158">
        <v>1005</v>
      </c>
      <c r="M18" s="158">
        <v>832</v>
      </c>
      <c r="N18" s="158">
        <v>716</v>
      </c>
      <c r="O18" s="158">
        <v>622</v>
      </c>
      <c r="P18" s="159"/>
      <c r="Q18" s="158">
        <v>1104</v>
      </c>
      <c r="R18" s="161">
        <v>1126</v>
      </c>
      <c r="S18" s="158">
        <f t="shared" si="0"/>
        <v>9459</v>
      </c>
      <c r="T18" s="113">
        <f t="shared" si="1"/>
        <v>11</v>
      </c>
      <c r="U18" s="81" t="e">
        <f>VLOOKUP(C18,#REF!,3,0)</f>
        <v>#REF!</v>
      </c>
      <c r="V18" s="81" t="e">
        <f t="shared" si="2"/>
        <v>#REF!</v>
      </c>
      <c r="W18" s="81">
        <f>VLOOKUP(B18,'[1]Nilesh Final (2)'!$B:$AJ,34,0)</f>
        <v>16832</v>
      </c>
      <c r="X18" s="81">
        <f>VLOOKUP(B18,'[1]Nilesh Final (2)'!$B:$AJ,35,0)</f>
        <v>20</v>
      </c>
    </row>
    <row r="19" spans="1:24">
      <c r="A19" s="113">
        <v>4</v>
      </c>
      <c r="B19" s="156" t="s">
        <v>231</v>
      </c>
      <c r="C19" s="157">
        <v>101391642731</v>
      </c>
      <c r="D19" s="158"/>
      <c r="E19" s="158"/>
      <c r="F19" s="158">
        <v>959</v>
      </c>
      <c r="G19" s="159">
        <v>846</v>
      </c>
      <c r="H19" s="158">
        <v>905</v>
      </c>
      <c r="I19" s="158"/>
      <c r="J19" s="160"/>
      <c r="K19" s="158">
        <v>1109</v>
      </c>
      <c r="L19" s="158">
        <v>1005</v>
      </c>
      <c r="M19" s="158">
        <v>832</v>
      </c>
      <c r="N19" s="158">
        <v>716</v>
      </c>
      <c r="O19" s="158">
        <v>622</v>
      </c>
      <c r="P19" s="159"/>
      <c r="Q19" s="158">
        <v>1104</v>
      </c>
      <c r="R19" s="161">
        <v>1126</v>
      </c>
      <c r="S19" s="158">
        <f t="shared" si="0"/>
        <v>9224</v>
      </c>
      <c r="T19" s="113">
        <f t="shared" si="1"/>
        <v>10</v>
      </c>
      <c r="U19" s="81" t="e">
        <f>VLOOKUP(C19,#REF!,3,0)</f>
        <v>#REF!</v>
      </c>
      <c r="V19" s="81" t="e">
        <f t="shared" si="2"/>
        <v>#REF!</v>
      </c>
      <c r="W19" s="81">
        <f>VLOOKUP(B19,'[1]Nilesh Final (2)'!$B:$AJ,34,0)</f>
        <v>20714</v>
      </c>
      <c r="X19" s="81">
        <f>VLOOKUP(B19,'[1]Nilesh Final (2)'!$B:$AJ,35,0)</f>
        <v>24</v>
      </c>
    </row>
    <row r="20" spans="1:24">
      <c r="A20" s="113">
        <v>5</v>
      </c>
      <c r="B20" s="156" t="s">
        <v>230</v>
      </c>
      <c r="C20" s="157">
        <v>101475170616</v>
      </c>
      <c r="D20" s="158"/>
      <c r="E20" s="158"/>
      <c r="F20" s="158">
        <v>959</v>
      </c>
      <c r="G20" s="159">
        <v>846</v>
      </c>
      <c r="H20" s="158">
        <v>905</v>
      </c>
      <c r="I20" s="158"/>
      <c r="J20" s="160">
        <v>638</v>
      </c>
      <c r="K20" s="158">
        <v>1109</v>
      </c>
      <c r="L20" s="158">
        <v>1005</v>
      </c>
      <c r="M20" s="158">
        <v>832</v>
      </c>
      <c r="N20" s="158">
        <v>716</v>
      </c>
      <c r="O20" s="158">
        <v>622</v>
      </c>
      <c r="P20" s="159"/>
      <c r="Q20" s="158">
        <v>1012</v>
      </c>
      <c r="R20" s="161">
        <v>1126</v>
      </c>
      <c r="S20" s="158">
        <f t="shared" si="0"/>
        <v>9770</v>
      </c>
      <c r="T20" s="113">
        <f t="shared" si="1"/>
        <v>11</v>
      </c>
      <c r="U20" s="81" t="e">
        <f>VLOOKUP(C20,#REF!,3,0)</f>
        <v>#REF!</v>
      </c>
      <c r="V20" s="81" t="e">
        <f t="shared" si="2"/>
        <v>#REF!</v>
      </c>
      <c r="W20" s="81">
        <f>VLOOKUP(B20,'[1]Nilesh Final (2)'!$B:$AJ,34,0)</f>
        <v>17587</v>
      </c>
      <c r="X20" s="81">
        <f>VLOOKUP(B20,'[1]Nilesh Final (2)'!$B:$AJ,35,0)</f>
        <v>21</v>
      </c>
    </row>
    <row r="21" spans="1:24">
      <c r="A21" s="113">
        <v>6</v>
      </c>
      <c r="B21" s="156" t="s">
        <v>226</v>
      </c>
      <c r="C21" s="157">
        <v>101520450548</v>
      </c>
      <c r="D21" s="158"/>
      <c r="E21" s="158"/>
      <c r="F21" s="158">
        <v>959</v>
      </c>
      <c r="G21" s="159">
        <v>846</v>
      </c>
      <c r="H21" s="158">
        <v>905</v>
      </c>
      <c r="I21" s="158">
        <v>1008</v>
      </c>
      <c r="J21" s="160">
        <v>638</v>
      </c>
      <c r="K21" s="158">
        <v>1109</v>
      </c>
      <c r="L21" s="158">
        <v>1005</v>
      </c>
      <c r="M21" s="158">
        <v>832</v>
      </c>
      <c r="N21" s="158">
        <v>716</v>
      </c>
      <c r="O21" s="158">
        <v>622</v>
      </c>
      <c r="P21" s="159"/>
      <c r="Q21" s="158">
        <v>1104</v>
      </c>
      <c r="R21" s="161">
        <v>1126</v>
      </c>
      <c r="S21" s="158">
        <f t="shared" si="0"/>
        <v>10870</v>
      </c>
      <c r="T21" s="113">
        <f t="shared" si="1"/>
        <v>12</v>
      </c>
      <c r="U21" s="81" t="e">
        <f>VLOOKUP(C21,#REF!,3,0)</f>
        <v>#REF!</v>
      </c>
      <c r="V21" s="81" t="e">
        <f t="shared" si="2"/>
        <v>#REF!</v>
      </c>
      <c r="W21" s="81">
        <f>VLOOKUP(B21,'[1]Nilesh Final (2)'!$B:$AJ,34,0)</f>
        <v>23192</v>
      </c>
      <c r="X21" s="81">
        <f>VLOOKUP(B21,'[1]Nilesh Final (2)'!$B:$AJ,35,0)</f>
        <v>27</v>
      </c>
    </row>
    <row r="22" spans="1:24" ht="13.8">
      <c r="A22" s="113">
        <v>7</v>
      </c>
      <c r="B22" s="100" t="s">
        <v>220</v>
      </c>
      <c r="C22" s="157">
        <v>101154454730</v>
      </c>
      <c r="D22" s="158"/>
      <c r="E22" s="158">
        <v>601</v>
      </c>
      <c r="F22" s="158">
        <v>689</v>
      </c>
      <c r="G22" s="159">
        <v>846</v>
      </c>
      <c r="H22" s="158">
        <v>905</v>
      </c>
      <c r="I22" s="158"/>
      <c r="J22" s="160"/>
      <c r="K22" s="158"/>
      <c r="L22" s="158"/>
      <c r="M22" s="158"/>
      <c r="N22" s="158"/>
      <c r="O22" s="158"/>
      <c r="P22" s="159"/>
      <c r="Q22" s="158"/>
      <c r="R22" s="161"/>
      <c r="S22" s="158">
        <f t="shared" si="0"/>
        <v>3041</v>
      </c>
      <c r="T22" s="113">
        <f t="shared" si="1"/>
        <v>4</v>
      </c>
      <c r="U22" s="81" t="e">
        <f>VLOOKUP(C22,#REF!,3,0)</f>
        <v>#REF!</v>
      </c>
      <c r="V22" s="81" t="e">
        <f t="shared" si="2"/>
        <v>#REF!</v>
      </c>
      <c r="W22" s="81">
        <f>VLOOKUP(B22,'[1]Nilesh Final (2)'!$B:$AJ,34,0)</f>
        <v>12858</v>
      </c>
      <c r="X22" s="81">
        <f>VLOOKUP(B22,'[1]Nilesh Final (2)'!$B:$AJ,35,0)</f>
        <v>15</v>
      </c>
    </row>
    <row r="23" spans="1:24">
      <c r="A23" s="113">
        <v>8</v>
      </c>
      <c r="B23" s="156" t="s">
        <v>412</v>
      </c>
      <c r="C23" s="157" t="s">
        <v>397</v>
      </c>
      <c r="D23" s="158"/>
      <c r="E23" s="158">
        <v>601</v>
      </c>
      <c r="F23" s="158">
        <v>959</v>
      </c>
      <c r="G23" s="159">
        <v>846</v>
      </c>
      <c r="H23" s="158">
        <v>905</v>
      </c>
      <c r="I23" s="158"/>
      <c r="J23" s="160">
        <v>638</v>
      </c>
      <c r="K23" s="158">
        <v>1109</v>
      </c>
      <c r="L23" s="158">
        <v>1005</v>
      </c>
      <c r="M23" s="158">
        <v>832</v>
      </c>
      <c r="N23" s="158">
        <v>716</v>
      </c>
      <c r="O23" s="158">
        <v>622</v>
      </c>
      <c r="P23" s="159"/>
      <c r="Q23" s="158">
        <v>1104</v>
      </c>
      <c r="R23" s="161">
        <v>1126</v>
      </c>
      <c r="S23" s="158">
        <f t="shared" si="0"/>
        <v>10463</v>
      </c>
      <c r="T23" s="113">
        <f t="shared" si="1"/>
        <v>12</v>
      </c>
      <c r="U23" s="81" t="e">
        <f>VLOOKUP(C23,#REF!,3,0)</f>
        <v>#REF!</v>
      </c>
      <c r="V23" s="81" t="e">
        <f t="shared" si="2"/>
        <v>#REF!</v>
      </c>
      <c r="W23" s="81">
        <f>VLOOKUP(B23,'[1]Nilesh Final (2)'!$B:$AJ,34,0)</f>
        <v>21953</v>
      </c>
      <c r="X23" s="81">
        <f>VLOOKUP(B23,'[1]Nilesh Final (2)'!$B:$AJ,35,0)</f>
        <v>26</v>
      </c>
    </row>
    <row r="24" spans="1:24" ht="13.8">
      <c r="A24" s="113">
        <v>9</v>
      </c>
      <c r="B24" s="100" t="s">
        <v>376</v>
      </c>
      <c r="C24" s="157">
        <v>102209140373</v>
      </c>
      <c r="D24" s="158"/>
      <c r="E24" s="158"/>
      <c r="F24" s="158"/>
      <c r="G24" s="159"/>
      <c r="H24" s="158"/>
      <c r="I24" s="158"/>
      <c r="J24" s="160">
        <v>638</v>
      </c>
      <c r="K24" s="158"/>
      <c r="L24" s="158"/>
      <c r="M24" s="158">
        <v>832</v>
      </c>
      <c r="N24" s="158">
        <v>716</v>
      </c>
      <c r="O24" s="158">
        <v>622</v>
      </c>
      <c r="P24" s="159"/>
      <c r="Q24" s="158"/>
      <c r="R24" s="161"/>
      <c r="S24" s="158">
        <f t="shared" si="0"/>
        <v>2808</v>
      </c>
      <c r="T24" s="113">
        <f t="shared" si="1"/>
        <v>4</v>
      </c>
      <c r="U24" s="81" t="e">
        <f>VLOOKUP(C24,#REF!,3,0)</f>
        <v>#REF!</v>
      </c>
      <c r="V24" s="81" t="e">
        <f t="shared" si="2"/>
        <v>#REF!</v>
      </c>
      <c r="W24" s="81">
        <f>VLOOKUP(B24,'[1]Nilesh Final (2)'!$B:$AJ,34,0)</f>
        <v>10191</v>
      </c>
      <c r="X24" s="81">
        <f>VLOOKUP(B24,'[1]Nilesh Final (2)'!$B:$AJ,35,0)</f>
        <v>13</v>
      </c>
    </row>
    <row r="25" spans="1:24">
      <c r="A25" s="113">
        <v>10</v>
      </c>
      <c r="B25" s="156" t="s">
        <v>415</v>
      </c>
      <c r="C25" s="157">
        <v>101835374035</v>
      </c>
      <c r="D25" s="158"/>
      <c r="E25" s="158">
        <v>601</v>
      </c>
      <c r="F25" s="158"/>
      <c r="G25" s="159"/>
      <c r="H25" s="158"/>
      <c r="I25" s="158"/>
      <c r="J25" s="160"/>
      <c r="K25" s="158"/>
      <c r="L25" s="158"/>
      <c r="M25" s="158"/>
      <c r="N25" s="158"/>
      <c r="O25" s="158"/>
      <c r="P25" s="159"/>
      <c r="Q25" s="158"/>
      <c r="R25" s="161"/>
      <c r="S25" s="158">
        <f t="shared" si="0"/>
        <v>601</v>
      </c>
      <c r="T25" s="113">
        <f t="shared" si="1"/>
        <v>1</v>
      </c>
      <c r="U25" s="81" t="e">
        <f>VLOOKUP(C25,#REF!,3,0)</f>
        <v>#REF!</v>
      </c>
      <c r="V25" s="81" t="e">
        <f t="shared" si="2"/>
        <v>#REF!</v>
      </c>
      <c r="W25" s="81">
        <f>VLOOKUP(B25,'[1]Nilesh Final (2)'!$B:$AJ,34,0)</f>
        <v>3309</v>
      </c>
      <c r="X25" s="81">
        <f>VLOOKUP(B25,'[1]Nilesh Final (2)'!$B:$AJ,35,0)</f>
        <v>5</v>
      </c>
    </row>
    <row r="26" spans="1:24">
      <c r="A26" s="113">
        <v>12</v>
      </c>
      <c r="B26" s="156" t="s">
        <v>461</v>
      </c>
      <c r="C26" s="157" t="s">
        <v>399</v>
      </c>
      <c r="D26" s="158"/>
      <c r="E26" s="158"/>
      <c r="F26" s="158"/>
      <c r="G26" s="159"/>
      <c r="H26" s="158"/>
      <c r="I26" s="158"/>
      <c r="J26" s="160"/>
      <c r="K26" s="158">
        <v>500</v>
      </c>
      <c r="L26" s="158">
        <v>500</v>
      </c>
      <c r="M26" s="158"/>
      <c r="N26" s="158"/>
      <c r="O26" s="158"/>
      <c r="P26" s="159"/>
      <c r="Q26" s="158"/>
      <c r="R26" s="161"/>
      <c r="S26" s="158">
        <f t="shared" si="0"/>
        <v>1000</v>
      </c>
      <c r="T26" s="113">
        <f t="shared" si="1"/>
        <v>2</v>
      </c>
      <c r="U26" s="81" t="e">
        <f>VLOOKUP(C26,#REF!,3,0)</f>
        <v>#REF!</v>
      </c>
      <c r="V26" s="81" t="e">
        <f t="shared" si="2"/>
        <v>#REF!</v>
      </c>
      <c r="W26" s="81">
        <f>VLOOKUP(B26,'[1]Nilesh Final (2)'!$B:$AJ,34,0)</f>
        <v>1000</v>
      </c>
      <c r="X26" s="81">
        <f>VLOOKUP(B26,'[1]Nilesh Final (2)'!$B:$AJ,35,0)</f>
        <v>2</v>
      </c>
    </row>
    <row r="27" spans="1:24">
      <c r="A27" s="113">
        <v>13</v>
      </c>
      <c r="B27" s="156" t="s">
        <v>219</v>
      </c>
      <c r="C27" s="157">
        <v>101747190938</v>
      </c>
      <c r="D27" s="158"/>
      <c r="E27" s="158">
        <v>817</v>
      </c>
      <c r="F27" s="158">
        <v>959</v>
      </c>
      <c r="G27" s="159">
        <v>846</v>
      </c>
      <c r="H27" s="158">
        <v>905</v>
      </c>
      <c r="I27" s="158">
        <v>1008</v>
      </c>
      <c r="J27" s="160">
        <v>638</v>
      </c>
      <c r="K27" s="158">
        <v>1109</v>
      </c>
      <c r="L27" s="158">
        <v>1005</v>
      </c>
      <c r="M27" s="158">
        <f>1051+832</f>
        <v>1883</v>
      </c>
      <c r="N27" s="158">
        <v>716</v>
      </c>
      <c r="O27" s="158">
        <v>622</v>
      </c>
      <c r="P27" s="159"/>
      <c r="Q27" s="158">
        <v>1104</v>
      </c>
      <c r="R27" s="161">
        <v>1126</v>
      </c>
      <c r="S27" s="158">
        <f t="shared" si="0"/>
        <v>12738</v>
      </c>
      <c r="T27" s="113">
        <f t="shared" si="1"/>
        <v>13</v>
      </c>
      <c r="U27" s="81" t="e">
        <f>VLOOKUP(C27,#REF!,3,0)</f>
        <v>#REF!</v>
      </c>
      <c r="V27" s="81" t="e">
        <f t="shared" si="2"/>
        <v>#REF!</v>
      </c>
      <c r="W27" s="81">
        <f>VLOOKUP(B27,'[1]Nilesh Final (2)'!$B:$AJ,34,0)</f>
        <v>24537</v>
      </c>
      <c r="X27" s="81">
        <f>VLOOKUP(B27,'[1]Nilesh Final (2)'!$B:$AJ,35,0)</f>
        <v>28</v>
      </c>
    </row>
    <row r="28" spans="1:24">
      <c r="A28" s="113">
        <v>1</v>
      </c>
      <c r="B28" s="156" t="s">
        <v>227</v>
      </c>
      <c r="C28" s="157">
        <v>101509952020</v>
      </c>
      <c r="D28" s="158"/>
      <c r="E28" s="158">
        <v>817</v>
      </c>
      <c r="F28" s="158">
        <v>823</v>
      </c>
      <c r="G28" s="159">
        <v>901</v>
      </c>
      <c r="H28" s="158">
        <v>955</v>
      </c>
      <c r="I28" s="158">
        <v>1008</v>
      </c>
      <c r="J28" s="160">
        <v>808</v>
      </c>
      <c r="K28" s="158">
        <v>886</v>
      </c>
      <c r="L28" s="158">
        <v>960</v>
      </c>
      <c r="M28" s="158">
        <v>1051</v>
      </c>
      <c r="N28" s="158">
        <v>918</v>
      </c>
      <c r="O28" s="158">
        <v>803</v>
      </c>
      <c r="P28" s="159"/>
      <c r="Q28" s="158"/>
      <c r="R28" s="161"/>
      <c r="S28" s="158">
        <f t="shared" si="0"/>
        <v>9930</v>
      </c>
      <c r="T28" s="113">
        <f t="shared" si="1"/>
        <v>11</v>
      </c>
      <c r="U28" s="81" t="e">
        <f>VLOOKUP(C28,#REF!,3,0)</f>
        <v>#REF!</v>
      </c>
      <c r="V28" s="81" t="e">
        <f t="shared" si="2"/>
        <v>#REF!</v>
      </c>
      <c r="W28" s="81">
        <f>VLOOKUP(B28,'[1]Nilesh Final (2)'!$B:$AJ,34,0)</f>
        <v>22515</v>
      </c>
      <c r="X28" s="81">
        <f>VLOOKUP(B28,'[1]Nilesh Final (2)'!$B:$AJ,35,0)</f>
        <v>27</v>
      </c>
    </row>
    <row r="29" spans="1:24">
      <c r="A29" s="113">
        <v>2</v>
      </c>
      <c r="B29" s="156" t="s">
        <v>221</v>
      </c>
      <c r="C29" s="157">
        <v>101522138160</v>
      </c>
      <c r="D29" s="158"/>
      <c r="E29" s="158">
        <v>817</v>
      </c>
      <c r="F29" s="158"/>
      <c r="G29" s="159">
        <v>901</v>
      </c>
      <c r="H29" s="158">
        <v>955</v>
      </c>
      <c r="I29" s="158"/>
      <c r="J29" s="160">
        <v>808</v>
      </c>
      <c r="K29" s="158">
        <v>886</v>
      </c>
      <c r="L29" s="158">
        <v>960</v>
      </c>
      <c r="M29" s="158">
        <v>1051</v>
      </c>
      <c r="N29" s="158">
        <v>918</v>
      </c>
      <c r="O29" s="158">
        <v>803</v>
      </c>
      <c r="P29" s="159"/>
      <c r="Q29" s="158"/>
      <c r="R29" s="161"/>
      <c r="S29" s="158">
        <f t="shared" si="0"/>
        <v>8099</v>
      </c>
      <c r="T29" s="113">
        <f t="shared" si="1"/>
        <v>9</v>
      </c>
      <c r="U29" s="81" t="e">
        <f>VLOOKUP(C29,#REF!,3,0)</f>
        <v>#REF!</v>
      </c>
      <c r="V29" s="81" t="e">
        <f t="shared" si="2"/>
        <v>#REF!</v>
      </c>
      <c r="W29" s="81">
        <f>VLOOKUP(B29,'[1]Nilesh Final (2)'!$B:$AJ,34,0)</f>
        <v>18550</v>
      </c>
      <c r="X29" s="81">
        <f>VLOOKUP(B29,'[1]Nilesh Final (2)'!$B:$AJ,35,0)</f>
        <v>23</v>
      </c>
    </row>
    <row r="30" spans="1:24">
      <c r="A30" s="113">
        <v>4</v>
      </c>
      <c r="B30" s="99" t="s">
        <v>367</v>
      </c>
      <c r="C30" s="157">
        <v>101424676055</v>
      </c>
      <c r="D30" s="158"/>
      <c r="E30" s="158">
        <v>817</v>
      </c>
      <c r="F30" s="158">
        <v>823</v>
      </c>
      <c r="G30" s="159">
        <v>901</v>
      </c>
      <c r="H30" s="158">
        <v>955</v>
      </c>
      <c r="I30" s="158">
        <v>1008</v>
      </c>
      <c r="J30" s="160">
        <v>808</v>
      </c>
      <c r="K30" s="158">
        <v>886</v>
      </c>
      <c r="L30" s="158">
        <v>960</v>
      </c>
      <c r="M30" s="158">
        <v>566</v>
      </c>
      <c r="N30" s="158">
        <v>918</v>
      </c>
      <c r="O30" s="158">
        <v>803</v>
      </c>
      <c r="P30" s="159"/>
      <c r="Q30" s="158"/>
      <c r="R30" s="161"/>
      <c r="S30" s="158">
        <f t="shared" si="0"/>
        <v>9445</v>
      </c>
      <c r="T30" s="113">
        <f t="shared" si="1"/>
        <v>11</v>
      </c>
      <c r="U30" s="81" t="e">
        <f>VLOOKUP(C30,#REF!,3,0)</f>
        <v>#REF!</v>
      </c>
      <c r="V30" s="81" t="e">
        <f t="shared" si="2"/>
        <v>#REF!</v>
      </c>
      <c r="W30" s="81">
        <f>VLOOKUP(B30,'[1]Nilesh Final (2)'!$B:$AJ,34,0)</f>
        <v>22173</v>
      </c>
      <c r="X30" s="81">
        <f>VLOOKUP(B30,'[1]Nilesh Final (2)'!$B:$AJ,35,0)</f>
        <v>27</v>
      </c>
    </row>
    <row r="31" spans="1:24" ht="13.8">
      <c r="A31" s="113">
        <v>5</v>
      </c>
      <c r="B31" s="100" t="s">
        <v>339</v>
      </c>
      <c r="C31" s="157">
        <v>102190249257</v>
      </c>
      <c r="D31" s="158"/>
      <c r="E31" s="158"/>
      <c r="F31" s="158">
        <v>823</v>
      </c>
      <c r="G31" s="159">
        <v>901</v>
      </c>
      <c r="H31" s="158">
        <v>955</v>
      </c>
      <c r="I31" s="158"/>
      <c r="J31" s="160">
        <v>808</v>
      </c>
      <c r="K31" s="158">
        <v>886</v>
      </c>
      <c r="L31" s="158"/>
      <c r="M31" s="158">
        <v>1051</v>
      </c>
      <c r="N31" s="158">
        <v>918</v>
      </c>
      <c r="O31" s="158">
        <v>803</v>
      </c>
      <c r="P31" s="159"/>
      <c r="Q31" s="158"/>
      <c r="R31" s="161"/>
      <c r="S31" s="158">
        <f t="shared" si="0"/>
        <v>7145</v>
      </c>
      <c r="T31" s="113">
        <f t="shared" si="1"/>
        <v>8</v>
      </c>
      <c r="U31" s="81" t="e">
        <f>VLOOKUP(C31,#REF!,3,0)</f>
        <v>#REF!</v>
      </c>
      <c r="V31" s="81" t="e">
        <f t="shared" si="2"/>
        <v>#REF!</v>
      </c>
      <c r="W31" s="81">
        <f>VLOOKUP(B31,'[1]Nilesh Final (2)'!$B:$AJ,34,0)</f>
        <v>18563</v>
      </c>
      <c r="X31" s="81">
        <f>VLOOKUP(B31,'[1]Nilesh Final (2)'!$B:$AJ,35,0)</f>
        <v>22</v>
      </c>
    </row>
    <row r="32" spans="1:24">
      <c r="A32" s="113">
        <v>6</v>
      </c>
      <c r="B32" s="156" t="s">
        <v>181</v>
      </c>
      <c r="C32" s="157">
        <v>102078951370</v>
      </c>
      <c r="D32" s="158"/>
      <c r="E32" s="158"/>
      <c r="F32" s="158"/>
      <c r="G32" s="159"/>
      <c r="H32" s="158"/>
      <c r="I32" s="158"/>
      <c r="J32" s="160">
        <v>808</v>
      </c>
      <c r="K32" s="158">
        <v>886</v>
      </c>
      <c r="L32" s="158">
        <v>960</v>
      </c>
      <c r="M32" s="158">
        <v>1051</v>
      </c>
      <c r="N32" s="158">
        <v>918</v>
      </c>
      <c r="O32" s="158">
        <v>803</v>
      </c>
      <c r="P32" s="159"/>
      <c r="Q32" s="158"/>
      <c r="R32" s="161"/>
      <c r="S32" s="158">
        <f t="shared" si="0"/>
        <v>5426</v>
      </c>
      <c r="T32" s="113">
        <f t="shared" si="1"/>
        <v>6</v>
      </c>
      <c r="U32" s="81" t="e">
        <f>VLOOKUP(C32,#REF!,3,0)</f>
        <v>#REF!</v>
      </c>
      <c r="V32" s="81" t="e">
        <f t="shared" si="2"/>
        <v>#REF!</v>
      </c>
      <c r="W32" s="81">
        <f>VLOOKUP(B32,'[1]Nilesh Final (2)'!$B:$AJ,34,0)</f>
        <v>13048</v>
      </c>
      <c r="X32" s="81">
        <f>VLOOKUP(B32,'[1]Nilesh Final (2)'!$B:$AJ,35,0)</f>
        <v>15</v>
      </c>
    </row>
    <row r="33" spans="1:24">
      <c r="A33" s="113">
        <v>7</v>
      </c>
      <c r="B33" s="156" t="s">
        <v>172</v>
      </c>
      <c r="C33" s="157">
        <v>102143026061</v>
      </c>
      <c r="D33" s="158"/>
      <c r="E33" s="158">
        <v>817</v>
      </c>
      <c r="F33" s="158">
        <v>823</v>
      </c>
      <c r="G33" s="159">
        <v>901</v>
      </c>
      <c r="H33" s="158">
        <v>955</v>
      </c>
      <c r="I33" s="158">
        <v>1008</v>
      </c>
      <c r="J33" s="160"/>
      <c r="K33" s="158"/>
      <c r="L33" s="158"/>
      <c r="M33" s="158"/>
      <c r="N33" s="158"/>
      <c r="O33" s="158"/>
      <c r="P33" s="159"/>
      <c r="Q33" s="158"/>
      <c r="R33" s="161"/>
      <c r="S33" s="158">
        <f t="shared" si="0"/>
        <v>4504</v>
      </c>
      <c r="T33" s="113">
        <f t="shared" si="1"/>
        <v>5</v>
      </c>
      <c r="U33" s="81" t="e">
        <f>VLOOKUP(C33,#REF!,3,0)</f>
        <v>#REF!</v>
      </c>
      <c r="V33" s="81" t="e">
        <f t="shared" si="2"/>
        <v>#REF!</v>
      </c>
      <c r="W33" s="81">
        <f>VLOOKUP(B33,'[1]Nilesh Final (2)'!$B:$AJ,34,0)</f>
        <v>10152</v>
      </c>
      <c r="X33" s="81">
        <f>VLOOKUP(B33,'[1]Nilesh Final (2)'!$B:$AJ,35,0)</f>
        <v>13</v>
      </c>
    </row>
    <row r="34" spans="1:24" ht="13.8">
      <c r="A34" s="113">
        <v>8</v>
      </c>
      <c r="B34" s="100" t="s">
        <v>213</v>
      </c>
      <c r="C34" s="157">
        <v>101447270865</v>
      </c>
      <c r="D34" s="158"/>
      <c r="E34" s="158"/>
      <c r="F34" s="158">
        <v>300</v>
      </c>
      <c r="G34" s="159"/>
      <c r="H34" s="158"/>
      <c r="I34" s="158"/>
      <c r="J34" s="160"/>
      <c r="K34" s="158">
        <v>886</v>
      </c>
      <c r="L34" s="158">
        <v>960</v>
      </c>
      <c r="M34" s="158"/>
      <c r="N34" s="158">
        <v>918</v>
      </c>
      <c r="O34" s="158">
        <v>803</v>
      </c>
      <c r="P34" s="159"/>
      <c r="Q34" s="158"/>
      <c r="R34" s="161"/>
      <c r="S34" s="158">
        <f t="shared" si="0"/>
        <v>3867</v>
      </c>
      <c r="T34" s="113">
        <f t="shared" si="1"/>
        <v>5</v>
      </c>
      <c r="U34" s="81" t="e">
        <f>VLOOKUP(C34,#REF!,3,0)</f>
        <v>#REF!</v>
      </c>
      <c r="V34" s="81" t="e">
        <f t="shared" si="2"/>
        <v>#REF!</v>
      </c>
      <c r="W34" s="81">
        <f>VLOOKUP(B34,'[1]Nilesh Final (2)'!$B:$AJ,34,0)</f>
        <v>5504</v>
      </c>
      <c r="X34" s="81">
        <f>VLOOKUP(B34,'[1]Nilesh Final (2)'!$B:$AJ,35,0)</f>
        <v>7</v>
      </c>
    </row>
    <row r="35" spans="1:24">
      <c r="A35" s="113">
        <v>9</v>
      </c>
      <c r="B35" s="156" t="s">
        <v>462</v>
      </c>
      <c r="C35" s="157">
        <v>102081665259</v>
      </c>
      <c r="D35" s="158"/>
      <c r="E35" s="158">
        <v>550</v>
      </c>
      <c r="F35" s="158"/>
      <c r="G35" s="159"/>
      <c r="H35" s="158"/>
      <c r="I35" s="158"/>
      <c r="J35" s="160"/>
      <c r="K35" s="158"/>
      <c r="L35" s="158"/>
      <c r="M35" s="158"/>
      <c r="N35" s="158"/>
      <c r="O35" s="158"/>
      <c r="P35" s="159"/>
      <c r="Q35" s="158"/>
      <c r="R35" s="161"/>
      <c r="S35" s="158">
        <f t="shared" si="0"/>
        <v>550</v>
      </c>
      <c r="T35" s="113">
        <f t="shared" si="1"/>
        <v>1</v>
      </c>
      <c r="U35" s="81" t="e">
        <f>VLOOKUP(C35,#REF!,3,0)</f>
        <v>#REF!</v>
      </c>
      <c r="V35" s="81" t="e">
        <f t="shared" si="2"/>
        <v>#REF!</v>
      </c>
      <c r="W35" s="81">
        <f>VLOOKUP(B35,'[1]Nilesh Final (2)'!$B:$AJ,34,0)</f>
        <v>1050</v>
      </c>
      <c r="X35" s="81">
        <f>VLOOKUP(B35,'[1]Nilesh Final (2)'!$B:$AJ,35,0)</f>
        <v>2</v>
      </c>
    </row>
    <row r="36" spans="1:24" ht="13.8">
      <c r="A36" s="113">
        <v>10</v>
      </c>
      <c r="B36" s="100" t="s">
        <v>348</v>
      </c>
      <c r="C36" s="157">
        <v>101241926666</v>
      </c>
      <c r="D36" s="158"/>
      <c r="E36" s="158"/>
      <c r="F36" s="158"/>
      <c r="G36" s="159">
        <v>901</v>
      </c>
      <c r="H36" s="158">
        <v>955</v>
      </c>
      <c r="I36" s="158">
        <v>1008</v>
      </c>
      <c r="J36" s="160"/>
      <c r="K36" s="158"/>
      <c r="L36" s="158"/>
      <c r="M36" s="158">
        <v>1051</v>
      </c>
      <c r="N36" s="158">
        <v>918</v>
      </c>
      <c r="O36" s="158"/>
      <c r="P36" s="159"/>
      <c r="Q36" s="158"/>
      <c r="R36" s="161"/>
      <c r="S36" s="158">
        <f t="shared" si="0"/>
        <v>4833</v>
      </c>
      <c r="T36" s="113">
        <f t="shared" si="1"/>
        <v>5</v>
      </c>
      <c r="U36" s="81" t="e">
        <f>VLOOKUP(C36,#REF!,3,0)</f>
        <v>#REF!</v>
      </c>
      <c r="V36" s="81" t="e">
        <f t="shared" si="2"/>
        <v>#REF!</v>
      </c>
      <c r="W36" s="81">
        <f>VLOOKUP(B36,'[1]Nilesh Final (2)'!$B:$AJ,34,0)</f>
        <v>13782</v>
      </c>
      <c r="X36" s="81">
        <f>VLOOKUP(B36,'[1]Nilesh Final (2)'!$B:$AJ,35,0)</f>
        <v>16</v>
      </c>
    </row>
    <row r="37" spans="1:24" ht="13.8">
      <c r="A37" s="113">
        <v>11</v>
      </c>
      <c r="B37" s="100" t="s">
        <v>188</v>
      </c>
      <c r="C37" s="157">
        <v>102053057886</v>
      </c>
      <c r="D37" s="158"/>
      <c r="E37" s="158">
        <v>601</v>
      </c>
      <c r="F37" s="158"/>
      <c r="G37" s="159">
        <v>901</v>
      </c>
      <c r="H37" s="158">
        <v>955</v>
      </c>
      <c r="I37" s="158">
        <v>1008</v>
      </c>
      <c r="J37" s="160">
        <v>808</v>
      </c>
      <c r="K37" s="158"/>
      <c r="L37" s="158"/>
      <c r="M37" s="158">
        <v>1051</v>
      </c>
      <c r="N37" s="158">
        <v>918</v>
      </c>
      <c r="O37" s="158">
        <v>803</v>
      </c>
      <c r="P37" s="159"/>
      <c r="Q37" s="158"/>
      <c r="R37" s="161"/>
      <c r="S37" s="158">
        <f t="shared" si="0"/>
        <v>7045</v>
      </c>
      <c r="T37" s="113">
        <f t="shared" si="1"/>
        <v>8</v>
      </c>
      <c r="U37" s="81" t="e">
        <f>VLOOKUP(C37,#REF!,3,0)</f>
        <v>#REF!</v>
      </c>
      <c r="V37" s="81" t="e">
        <f t="shared" si="2"/>
        <v>#REF!</v>
      </c>
      <c r="W37" s="81">
        <f>VLOOKUP(B37,'[1]Nilesh Final (2)'!$B:$AJ,34,0)</f>
        <v>12371</v>
      </c>
      <c r="X37" s="81">
        <f>VLOOKUP(B37,'[1]Nilesh Final (2)'!$B:$AJ,35,0)</f>
        <v>14</v>
      </c>
    </row>
    <row r="38" spans="1:24" ht="13.8">
      <c r="A38" s="113"/>
      <c r="B38" s="100" t="s">
        <v>393</v>
      </c>
      <c r="C38" s="157">
        <v>101591620448</v>
      </c>
      <c r="D38" s="158"/>
      <c r="E38" s="158"/>
      <c r="F38" s="158"/>
      <c r="G38" s="159"/>
      <c r="H38" s="158"/>
      <c r="I38" s="158"/>
      <c r="J38" s="160"/>
      <c r="K38" s="158">
        <v>886</v>
      </c>
      <c r="L38" s="158">
        <v>960</v>
      </c>
      <c r="M38" s="158">
        <v>1051</v>
      </c>
      <c r="N38" s="158">
        <v>918</v>
      </c>
      <c r="O38" s="158">
        <v>803</v>
      </c>
      <c r="P38" s="159"/>
      <c r="Q38" s="158"/>
      <c r="R38" s="161"/>
      <c r="S38" s="158">
        <f t="shared" ref="S38:S43" si="3">SUM(D38:R38)</f>
        <v>4618</v>
      </c>
      <c r="T38" s="113">
        <f t="shared" ref="T38:T43" si="4">COUNT(D38:R38)</f>
        <v>5</v>
      </c>
      <c r="U38" s="81" t="e">
        <f>VLOOKUP(C38,#REF!,3,0)</f>
        <v>#REF!</v>
      </c>
      <c r="V38" s="81" t="e">
        <f>U38=B38</f>
        <v>#REF!</v>
      </c>
      <c r="W38" s="81">
        <f>VLOOKUP(B38,'[1]Nilesh Final (2)'!$B:$AJ,34,0)</f>
        <v>14700</v>
      </c>
      <c r="X38" s="81">
        <f>VLOOKUP(B38,'[1]Nilesh Final (2)'!$B:$AJ,35,0)</f>
        <v>17</v>
      </c>
    </row>
    <row r="39" spans="1:24" ht="13.8">
      <c r="A39" s="113"/>
      <c r="B39" s="100" t="s">
        <v>341</v>
      </c>
      <c r="C39" s="157">
        <v>101805790352</v>
      </c>
      <c r="D39" s="158"/>
      <c r="E39" s="158"/>
      <c r="F39" s="158"/>
      <c r="G39" s="159"/>
      <c r="H39" s="158"/>
      <c r="I39" s="158"/>
      <c r="J39" s="160"/>
      <c r="K39" s="158"/>
      <c r="L39" s="158">
        <v>801</v>
      </c>
      <c r="M39" s="158"/>
      <c r="N39" s="158"/>
      <c r="O39" s="158"/>
      <c r="P39" s="159"/>
      <c r="Q39" s="158"/>
      <c r="R39" s="161"/>
      <c r="S39" s="158">
        <f t="shared" si="3"/>
        <v>801</v>
      </c>
      <c r="T39" s="113">
        <f t="shared" si="4"/>
        <v>1</v>
      </c>
      <c r="U39" s="81" t="e">
        <f>VLOOKUP(C39,#REF!,3,0)</f>
        <v>#REF!</v>
      </c>
      <c r="V39" s="81" t="e">
        <f>U39=B39</f>
        <v>#REF!</v>
      </c>
      <c r="W39" s="81">
        <f>VLOOKUP(B39,'[1]Nilesh Final (2)'!$B:$AJ,34,0)</f>
        <v>1704</v>
      </c>
      <c r="X39" s="81">
        <f>VLOOKUP(B39,'[1]Nilesh Final (2)'!$B:$AJ,35,0)</f>
        <v>2</v>
      </c>
    </row>
    <row r="40" spans="1:24" ht="13.8">
      <c r="A40" s="113"/>
      <c r="B40" s="100" t="s">
        <v>469</v>
      </c>
      <c r="C40" s="95">
        <v>101084612898</v>
      </c>
      <c r="D40" s="158"/>
      <c r="E40" s="158"/>
      <c r="F40" s="158"/>
      <c r="G40" s="159"/>
      <c r="H40" s="158"/>
      <c r="I40" s="158"/>
      <c r="J40" s="160"/>
      <c r="K40" s="158"/>
      <c r="L40" s="158"/>
      <c r="M40" s="158"/>
      <c r="N40" s="158"/>
      <c r="O40" s="158"/>
      <c r="P40" s="159"/>
      <c r="Q40" s="158"/>
      <c r="R40" s="161"/>
      <c r="S40" s="158">
        <f t="shared" si="3"/>
        <v>0</v>
      </c>
      <c r="T40" s="113">
        <f t="shared" si="4"/>
        <v>0</v>
      </c>
      <c r="W40" s="81">
        <f>VLOOKUP(B40,'[1]Nilesh Final (2)'!$B:$AJ,34,0)</f>
        <v>7886</v>
      </c>
      <c r="X40" s="81">
        <f>VLOOKUP(B40,'[1]Nilesh Final (2)'!$B:$AJ,35,0)</f>
        <v>10</v>
      </c>
    </row>
    <row r="41" spans="1:24" ht="13.8">
      <c r="A41" s="113"/>
      <c r="B41" s="100" t="s">
        <v>470</v>
      </c>
      <c r="C41" s="99" t="s">
        <v>454</v>
      </c>
      <c r="D41" s="158"/>
      <c r="E41" s="158"/>
      <c r="F41" s="158"/>
      <c r="G41" s="159"/>
      <c r="H41" s="158"/>
      <c r="I41" s="158"/>
      <c r="J41" s="160"/>
      <c r="K41" s="158"/>
      <c r="L41" s="158"/>
      <c r="M41" s="158"/>
      <c r="N41" s="158"/>
      <c r="O41" s="158"/>
      <c r="P41" s="159"/>
      <c r="Q41" s="158"/>
      <c r="R41" s="161"/>
      <c r="S41" s="158">
        <f t="shared" si="3"/>
        <v>0</v>
      </c>
      <c r="T41" s="113">
        <f t="shared" si="4"/>
        <v>0</v>
      </c>
      <c r="W41" s="81">
        <f>VLOOKUP(B41,'[1]Nilesh Final (2)'!$B:$AJ,34,0)</f>
        <v>500</v>
      </c>
      <c r="X41" s="81">
        <f>VLOOKUP(B41,'[1]Nilesh Final (2)'!$B:$AJ,35,0)</f>
        <v>1</v>
      </c>
    </row>
    <row r="42" spans="1:24" ht="13.8">
      <c r="A42" s="113"/>
      <c r="B42" s="100" t="s">
        <v>465</v>
      </c>
      <c r="C42" s="100" t="s">
        <v>465</v>
      </c>
      <c r="D42" s="158"/>
      <c r="E42" s="158"/>
      <c r="F42" s="158"/>
      <c r="G42" s="159"/>
      <c r="H42" s="158"/>
      <c r="I42" s="158"/>
      <c r="J42" s="160"/>
      <c r="K42" s="158"/>
      <c r="L42" s="158"/>
      <c r="M42" s="158"/>
      <c r="N42" s="158"/>
      <c r="O42" s="158"/>
      <c r="P42" s="159"/>
      <c r="Q42" s="158"/>
      <c r="R42" s="161"/>
      <c r="S42" s="158">
        <f t="shared" si="3"/>
        <v>0</v>
      </c>
      <c r="T42" s="113">
        <f t="shared" si="4"/>
        <v>0</v>
      </c>
      <c r="W42" s="81">
        <f>VLOOKUP(B42,'[1]Nilesh Final (2)'!$B:$AJ,34,0)</f>
        <v>500</v>
      </c>
      <c r="X42" s="81">
        <f>VLOOKUP(B42,'[1]Nilesh Final (2)'!$B:$AJ,35,0)</f>
        <v>1</v>
      </c>
    </row>
    <row r="43" spans="1:24" ht="13.8">
      <c r="A43" s="113"/>
      <c r="B43" s="100" t="s">
        <v>471</v>
      </c>
      <c r="C43" s="127">
        <v>101591620411</v>
      </c>
      <c r="D43" s="158"/>
      <c r="E43" s="158"/>
      <c r="F43" s="158"/>
      <c r="G43" s="159"/>
      <c r="H43" s="158"/>
      <c r="I43" s="158"/>
      <c r="J43" s="160"/>
      <c r="K43" s="158"/>
      <c r="L43" s="158"/>
      <c r="M43" s="158"/>
      <c r="N43" s="158"/>
      <c r="O43" s="158"/>
      <c r="P43" s="159"/>
      <c r="Q43" s="158"/>
      <c r="R43" s="161"/>
      <c r="S43" s="158">
        <f t="shared" si="3"/>
        <v>0</v>
      </c>
      <c r="T43" s="113">
        <f t="shared" si="4"/>
        <v>0</v>
      </c>
      <c r="W43" s="81">
        <f>VLOOKUP(B43,'[1]Nilesh Final (2)'!$B:$AJ,34,0)</f>
        <v>5724</v>
      </c>
      <c r="X43" s="81">
        <f>VLOOKUP(B43,'[1]Nilesh Final (2)'!$B:$AJ,35,0)</f>
        <v>8</v>
      </c>
    </row>
    <row r="44" spans="1:24" ht="13.8">
      <c r="A44" s="113"/>
      <c r="B44" s="100"/>
      <c r="C44" s="113"/>
      <c r="D44" s="113">
        <f t="shared" ref="D44:T44" si="5">SUM(D2:D39)</f>
        <v>0</v>
      </c>
      <c r="E44" s="113">
        <f t="shared" si="5"/>
        <v>13790</v>
      </c>
      <c r="F44" s="113">
        <f t="shared" si="5"/>
        <v>19961</v>
      </c>
      <c r="G44" s="113">
        <f t="shared" si="5"/>
        <v>21677</v>
      </c>
      <c r="H44" s="113">
        <f t="shared" si="5"/>
        <v>23005</v>
      </c>
      <c r="I44" s="113">
        <f t="shared" si="5"/>
        <v>7056</v>
      </c>
      <c r="J44" s="113">
        <f t="shared" si="5"/>
        <v>21886</v>
      </c>
      <c r="K44" s="113">
        <f t="shared" si="5"/>
        <v>23922</v>
      </c>
      <c r="L44" s="113">
        <f t="shared" si="5"/>
        <v>24938</v>
      </c>
      <c r="M44" s="113">
        <f t="shared" si="5"/>
        <v>26285</v>
      </c>
      <c r="N44" s="113">
        <f t="shared" si="5"/>
        <v>24535</v>
      </c>
      <c r="O44" s="113">
        <f t="shared" si="5"/>
        <v>16545</v>
      </c>
      <c r="P44" s="113">
        <f t="shared" si="5"/>
        <v>0</v>
      </c>
      <c r="Q44" s="113">
        <f t="shared" si="5"/>
        <v>13356</v>
      </c>
      <c r="R44" s="113">
        <f t="shared" si="5"/>
        <v>13234</v>
      </c>
      <c r="S44" s="200">
        <f t="shared" si="5"/>
        <v>250190</v>
      </c>
      <c r="T44" s="113">
        <f t="shared" si="5"/>
        <v>276</v>
      </c>
      <c r="W44" s="81">
        <f>SUM(W2:W43)</f>
        <v>607135</v>
      </c>
      <c r="X44" s="81">
        <f>SUM(X2:X43)</f>
        <v>695</v>
      </c>
    </row>
    <row r="45" spans="1:24"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</row>
    <row r="46" spans="1:24"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</row>
    <row r="47" spans="1:24"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</row>
    <row r="48" spans="1:24"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</row>
    <row r="49" s="81" customFormat="1"/>
    <row r="50" s="81" customFormat="1"/>
    <row r="51" s="81" customFormat="1"/>
    <row r="52" s="81" customFormat="1"/>
    <row r="53" s="81" customFormat="1"/>
    <row r="54" s="81" customFormat="1"/>
    <row r="55" s="81" customFormat="1"/>
    <row r="56" s="81" customFormat="1"/>
    <row r="57" s="81" customFormat="1"/>
    <row r="58" s="81" customFormat="1"/>
    <row r="59" s="81" customFormat="1"/>
    <row r="60" s="81" customFormat="1"/>
    <row r="61" s="81" customFormat="1"/>
    <row r="62" s="81" customFormat="1"/>
    <row r="63" s="81" customFormat="1"/>
    <row r="64" s="81" customFormat="1"/>
    <row r="65" s="81" customFormat="1"/>
    <row r="66" s="81" customFormat="1"/>
    <row r="67" s="81" customFormat="1"/>
    <row r="68" s="81" customFormat="1"/>
    <row r="69" s="81" customFormat="1"/>
    <row r="70" s="81" customFormat="1"/>
    <row r="71" s="81" customFormat="1"/>
    <row r="72" s="81" customFormat="1"/>
    <row r="73" s="81" customFormat="1"/>
    <row r="74" s="81" customFormat="1"/>
    <row r="75" s="81" customFormat="1"/>
    <row r="76" s="81" customFormat="1"/>
    <row r="77" s="81" customFormat="1"/>
    <row r="78" s="81" customFormat="1"/>
    <row r="79" s="81" customFormat="1"/>
    <row r="80" s="81" customFormat="1"/>
    <row r="81" s="81" customFormat="1"/>
    <row r="82" s="81" customFormat="1"/>
    <row r="83" s="81" customFormat="1"/>
    <row r="84" s="81" customFormat="1"/>
    <row r="85" s="81" customFormat="1"/>
    <row r="86" s="81" customFormat="1"/>
    <row r="87" s="81" customFormat="1"/>
    <row r="88" s="81" customFormat="1"/>
    <row r="89" s="81" customFormat="1"/>
    <row r="90" s="81" customFormat="1"/>
    <row r="91" s="81" customFormat="1"/>
    <row r="92" s="81" customFormat="1"/>
    <row r="93" s="81" customFormat="1"/>
    <row r="94" s="81" customFormat="1"/>
    <row r="95" s="81" customFormat="1"/>
    <row r="96" s="81" customFormat="1"/>
    <row r="97" s="81" customFormat="1"/>
    <row r="98" s="81" customFormat="1"/>
    <row r="99" s="81" customFormat="1"/>
    <row r="100" s="81" customFormat="1"/>
    <row r="101" s="81" customFormat="1"/>
    <row r="102" s="81" customFormat="1"/>
    <row r="103" s="81" customFormat="1"/>
    <row r="104" s="81" customFormat="1"/>
    <row r="105" s="81" customFormat="1"/>
    <row r="106" s="81" customFormat="1"/>
    <row r="107" s="81" customFormat="1"/>
    <row r="108" s="81" customFormat="1"/>
    <row r="109" s="81" customFormat="1"/>
    <row r="110" s="81" customFormat="1"/>
    <row r="111" s="81" customFormat="1"/>
    <row r="112" s="81" customFormat="1"/>
    <row r="113" s="81" customFormat="1"/>
    <row r="114" s="81" customFormat="1"/>
    <row r="115" s="81" customFormat="1"/>
    <row r="116" s="81" customFormat="1"/>
    <row r="117" s="81" customFormat="1"/>
    <row r="118" s="81" customFormat="1"/>
    <row r="119" s="81" customFormat="1"/>
    <row r="120" s="81" customFormat="1"/>
    <row r="121" s="81" customFormat="1"/>
    <row r="122" s="81" customFormat="1"/>
    <row r="123" s="81" customFormat="1"/>
    <row r="124" s="81" customFormat="1"/>
    <row r="125" s="81" customFormat="1"/>
    <row r="126" s="81" customFormat="1"/>
    <row r="127" s="81" customFormat="1"/>
    <row r="128" s="81" customFormat="1"/>
    <row r="129" s="81" customFormat="1"/>
    <row r="130" s="81" customFormat="1"/>
    <row r="131" s="81" customFormat="1"/>
    <row r="132" s="81" customFormat="1"/>
    <row r="133" s="81" customFormat="1"/>
    <row r="134" s="81" customFormat="1"/>
    <row r="135" s="81" customFormat="1"/>
    <row r="136" s="81" customFormat="1"/>
    <row r="137" s="81" customFormat="1"/>
    <row r="138" s="81" customFormat="1"/>
    <row r="139" s="81" customFormat="1"/>
    <row r="140" s="81" customFormat="1"/>
    <row r="141" s="81" customFormat="1"/>
    <row r="142" s="81" customFormat="1"/>
    <row r="143" s="81" customFormat="1"/>
    <row r="144" s="81" customFormat="1"/>
    <row r="145" s="81" customFormat="1"/>
    <row r="146" s="81" customFormat="1"/>
    <row r="147" s="81" customFormat="1"/>
    <row r="148" s="81" customFormat="1"/>
    <row r="149" s="81" customFormat="1"/>
    <row r="150" s="81" customFormat="1"/>
    <row r="151" s="81" customFormat="1"/>
    <row r="152" s="81" customFormat="1"/>
    <row r="153" s="81" customFormat="1"/>
    <row r="154" s="81" customFormat="1"/>
    <row r="155" s="81" customFormat="1"/>
    <row r="156" s="81" customFormat="1"/>
    <row r="157" s="81" customFormat="1"/>
    <row r="158" s="81" customFormat="1"/>
    <row r="159" s="81" customFormat="1"/>
    <row r="160" s="81" customFormat="1"/>
    <row r="161" s="81" customFormat="1"/>
    <row r="162" s="81" customFormat="1"/>
    <row r="163" s="81" customFormat="1"/>
    <row r="164" s="81" customFormat="1"/>
    <row r="165" s="81" customFormat="1"/>
    <row r="166" s="81" customFormat="1"/>
    <row r="167" s="81" customFormat="1"/>
    <row r="168" s="81" customFormat="1"/>
    <row r="169" s="81" customFormat="1"/>
    <row r="170" s="81" customFormat="1"/>
    <row r="171" s="81" customFormat="1"/>
    <row r="172" s="81" customFormat="1"/>
    <row r="173" s="81" customFormat="1"/>
    <row r="174" s="81" customFormat="1"/>
    <row r="175" s="81" customFormat="1"/>
    <row r="176" s="81" customFormat="1"/>
    <row r="177" s="81" customFormat="1"/>
    <row r="178" s="81" customFormat="1"/>
    <row r="179" s="81" customFormat="1"/>
    <row r="180" s="81" customFormat="1"/>
    <row r="181" s="81" customFormat="1"/>
    <row r="182" s="81" customFormat="1"/>
    <row r="183" s="81" customFormat="1"/>
    <row r="184" s="81" customFormat="1"/>
    <row r="185" s="81" customFormat="1"/>
    <row r="186" s="81" customFormat="1"/>
    <row r="187" s="81" customFormat="1"/>
    <row r="188" s="81" customFormat="1"/>
    <row r="189" s="81" customFormat="1"/>
    <row r="190" s="81" customFormat="1"/>
    <row r="191" s="81" customFormat="1"/>
    <row r="192" s="81" customFormat="1"/>
    <row r="193" s="81" customFormat="1"/>
    <row r="194" s="81" customFormat="1"/>
    <row r="195" s="81" customFormat="1"/>
    <row r="196" s="81" customFormat="1"/>
    <row r="197" s="81" customFormat="1"/>
    <row r="198" s="81" customFormat="1"/>
    <row r="199" s="81" customFormat="1"/>
    <row r="200" s="81" customFormat="1"/>
    <row r="201" s="81" customFormat="1"/>
    <row r="202" s="81" customFormat="1"/>
    <row r="203" s="81" customFormat="1"/>
    <row r="204" s="81" customFormat="1"/>
    <row r="205" s="81" customFormat="1"/>
    <row r="206" s="81" customFormat="1"/>
    <row r="207" s="81" customFormat="1"/>
    <row r="208" s="81" customFormat="1"/>
    <row r="209" s="81" customFormat="1"/>
    <row r="210" s="81" customFormat="1"/>
    <row r="211" s="81" customFormat="1"/>
    <row r="212" s="81" customFormat="1"/>
    <row r="213" s="81" customFormat="1"/>
    <row r="214" s="81" customFormat="1"/>
    <row r="215" s="81" customFormat="1"/>
    <row r="216" s="81" customFormat="1"/>
    <row r="217" s="81" customFormat="1"/>
    <row r="218" s="81" customFormat="1"/>
    <row r="219" s="81" customFormat="1"/>
    <row r="220" s="81" customFormat="1"/>
    <row r="221" s="81" customFormat="1"/>
    <row r="222" s="81" customFormat="1"/>
    <row r="223" s="81" customFormat="1"/>
    <row r="224" s="81" customFormat="1"/>
    <row r="225" s="81" customFormat="1"/>
    <row r="226" s="81" customFormat="1"/>
    <row r="227" s="81" customFormat="1"/>
    <row r="228" s="81" customFormat="1"/>
    <row r="229" s="81" customFormat="1"/>
    <row r="230" s="81" customFormat="1"/>
    <row r="231" s="81" customFormat="1"/>
    <row r="232" s="81" customFormat="1"/>
    <row r="233" s="81" customFormat="1"/>
    <row r="234" s="81" customFormat="1"/>
    <row r="235" s="81" customFormat="1"/>
    <row r="236" s="81" customFormat="1"/>
    <row r="237" s="81" customFormat="1"/>
    <row r="238" s="81" customFormat="1"/>
    <row r="239" s="81" customFormat="1"/>
    <row r="240" s="81" customFormat="1"/>
    <row r="241" s="81" customFormat="1"/>
    <row r="242" s="81" customFormat="1"/>
    <row r="243" s="81" customFormat="1"/>
    <row r="244" s="81" customFormat="1"/>
    <row r="245" s="81" customFormat="1"/>
    <row r="246" s="81" customFormat="1"/>
    <row r="247" s="81" customFormat="1"/>
    <row r="248" s="81" customFormat="1"/>
    <row r="249" s="81" customFormat="1"/>
    <row r="250" s="81" customFormat="1"/>
    <row r="251" s="81" customFormat="1"/>
    <row r="252" s="81" customFormat="1"/>
    <row r="253" s="81" customFormat="1"/>
    <row r="254" s="81" customFormat="1"/>
    <row r="255" s="81" customFormat="1"/>
    <row r="256" s="81" customFormat="1"/>
    <row r="257" s="81" customFormat="1"/>
    <row r="258" s="81" customFormat="1"/>
    <row r="259" s="81" customFormat="1"/>
    <row r="260" s="81" customFormat="1"/>
    <row r="261" s="81" customFormat="1"/>
    <row r="262" s="81" customFormat="1"/>
    <row r="263" s="81" customFormat="1"/>
    <row r="264" s="81" customFormat="1"/>
    <row r="265" s="81" customFormat="1"/>
    <row r="266" s="81" customFormat="1"/>
    <row r="267" s="81" customFormat="1"/>
    <row r="268" s="81" customFormat="1"/>
    <row r="269" s="81" customFormat="1"/>
    <row r="270" s="81" customFormat="1"/>
    <row r="271" s="81" customFormat="1"/>
    <row r="272" s="81" customFormat="1"/>
    <row r="273" s="81" customFormat="1"/>
    <row r="274" s="81" customFormat="1"/>
    <row r="275" s="81" customFormat="1"/>
    <row r="276" s="81" customFormat="1"/>
    <row r="277" s="81" customFormat="1"/>
    <row r="278" s="81" customFormat="1"/>
    <row r="279" s="81" customFormat="1"/>
    <row r="280" s="81" customFormat="1"/>
    <row r="281" s="81" customFormat="1"/>
    <row r="282" s="81" customFormat="1"/>
    <row r="283" s="81" customFormat="1"/>
    <row r="284" s="81" customFormat="1"/>
    <row r="285" s="81" customFormat="1"/>
    <row r="286" s="81" customFormat="1"/>
    <row r="287" s="81" customFormat="1"/>
    <row r="288" s="81" customFormat="1"/>
    <row r="289" s="81" customFormat="1"/>
    <row r="290" s="81" customFormat="1"/>
    <row r="291" s="81" customFormat="1"/>
    <row r="292" s="81" customFormat="1"/>
    <row r="293" s="81" customFormat="1"/>
    <row r="294" s="81" customFormat="1"/>
    <row r="295" s="81" customFormat="1"/>
    <row r="296" s="81" customFormat="1"/>
    <row r="297" s="81" customFormat="1"/>
    <row r="298" s="81" customFormat="1"/>
    <row r="299" s="81" customFormat="1"/>
    <row r="300" s="81" customFormat="1"/>
    <row r="301" s="81" customFormat="1"/>
    <row r="302" s="81" customFormat="1"/>
    <row r="303" s="81" customFormat="1"/>
    <row r="304" s="81" customFormat="1"/>
    <row r="305" s="81" customFormat="1"/>
    <row r="306" s="81" customFormat="1"/>
    <row r="307" s="81" customFormat="1"/>
    <row r="308" s="81" customFormat="1"/>
    <row r="309" s="81" customFormat="1"/>
    <row r="310" s="81" customFormat="1"/>
    <row r="311" s="81" customFormat="1"/>
    <row r="312" s="81" customFormat="1"/>
    <row r="313" s="81" customFormat="1"/>
    <row r="314" s="81" customFormat="1"/>
    <row r="315" s="81" customFormat="1"/>
    <row r="316" s="81" customFormat="1"/>
    <row r="317" s="81" customFormat="1"/>
    <row r="318" s="81" customFormat="1"/>
    <row r="319" s="81" customFormat="1"/>
    <row r="320" s="81" customFormat="1"/>
    <row r="321" s="81" customFormat="1"/>
    <row r="322" s="81" customFormat="1"/>
    <row r="323" s="81" customFormat="1"/>
    <row r="324" s="81" customFormat="1"/>
    <row r="325" s="81" customFormat="1"/>
    <row r="326" s="81" customFormat="1"/>
    <row r="327" s="81" customFormat="1"/>
    <row r="328" s="81" customFormat="1"/>
    <row r="329" s="81" customFormat="1"/>
    <row r="330" s="81" customFormat="1"/>
    <row r="331" s="81" customFormat="1"/>
    <row r="332" s="81" customFormat="1"/>
    <row r="333" s="81" customFormat="1"/>
    <row r="334" s="81" customFormat="1"/>
    <row r="335" s="81" customFormat="1"/>
    <row r="336" s="81" customFormat="1"/>
    <row r="337" s="81" customFormat="1"/>
    <row r="338" s="81" customFormat="1"/>
    <row r="339" s="81" customFormat="1"/>
    <row r="340" s="81" customFormat="1"/>
    <row r="341" s="81" customFormat="1"/>
    <row r="342" s="81" customFormat="1"/>
    <row r="343" s="81" customFormat="1"/>
    <row r="344" s="81" customFormat="1"/>
    <row r="345" s="81" customFormat="1"/>
    <row r="346" s="81" customFormat="1"/>
    <row r="347" s="81" customFormat="1"/>
    <row r="348" s="81" customFormat="1"/>
    <row r="349" s="81" customFormat="1"/>
    <row r="350" s="81" customFormat="1"/>
    <row r="351" s="81" customFormat="1"/>
    <row r="352" s="81" customFormat="1"/>
    <row r="353" s="81" customFormat="1"/>
    <row r="354" s="81" customFormat="1"/>
    <row r="355" s="81" customFormat="1"/>
    <row r="356" s="81" customFormat="1"/>
    <row r="357" s="81" customFormat="1"/>
    <row r="358" s="81" customFormat="1"/>
    <row r="359" s="81" customFormat="1"/>
    <row r="360" s="81" customFormat="1"/>
    <row r="361" s="81" customFormat="1"/>
    <row r="362" s="81" customFormat="1"/>
    <row r="363" s="81" customFormat="1"/>
    <row r="364" s="81" customFormat="1"/>
    <row r="365" s="81" customFormat="1"/>
    <row r="366" s="81" customFormat="1"/>
    <row r="367" s="81" customFormat="1"/>
    <row r="368" s="81" customFormat="1"/>
    <row r="369" s="81" customFormat="1"/>
    <row r="370" s="81" customFormat="1"/>
    <row r="371" s="81" customFormat="1"/>
    <row r="372" s="81" customFormat="1"/>
    <row r="373" s="81" customFormat="1"/>
    <row r="374" s="81" customFormat="1"/>
    <row r="375" s="81" customFormat="1"/>
    <row r="376" s="81" customFormat="1"/>
    <row r="377" s="81" customFormat="1"/>
    <row r="378" s="81" customFormat="1"/>
    <row r="379" s="81" customFormat="1"/>
    <row r="380" s="81" customFormat="1"/>
    <row r="381" s="81" customFormat="1"/>
    <row r="382" s="81" customFormat="1"/>
    <row r="383" s="81" customFormat="1"/>
    <row r="384" s="81" customFormat="1"/>
    <row r="385" s="81" customFormat="1"/>
    <row r="386" s="81" customFormat="1"/>
    <row r="387" s="81" customFormat="1"/>
    <row r="388" s="81" customFormat="1"/>
    <row r="389" s="81" customFormat="1"/>
    <row r="390" s="81" customFormat="1"/>
    <row r="391" s="81" customFormat="1"/>
    <row r="392" s="81" customFormat="1"/>
    <row r="393" s="81" customFormat="1"/>
    <row r="394" s="81" customFormat="1"/>
    <row r="395" s="81" customFormat="1"/>
    <row r="396" s="81" customFormat="1"/>
    <row r="397" s="81" customFormat="1"/>
    <row r="398" s="81" customFormat="1"/>
    <row r="399" s="81" customFormat="1"/>
    <row r="400" s="81" customFormat="1"/>
    <row r="401" s="81" customFormat="1"/>
    <row r="402" s="81" customFormat="1"/>
    <row r="403" s="81" customFormat="1"/>
    <row r="404" s="81" customFormat="1"/>
    <row r="405" s="81" customFormat="1"/>
    <row r="406" s="81" customFormat="1"/>
    <row r="407" s="81" customFormat="1"/>
    <row r="408" s="81" customFormat="1"/>
    <row r="409" s="81" customFormat="1"/>
    <row r="410" s="81" customFormat="1"/>
    <row r="411" s="81" customFormat="1"/>
    <row r="412" s="81" customFormat="1"/>
    <row r="413" s="81" customFormat="1"/>
    <row r="414" s="81" customFormat="1"/>
    <row r="415" s="81" customFormat="1"/>
    <row r="416" s="81" customFormat="1"/>
    <row r="417" s="81" customFormat="1"/>
    <row r="418" s="81" customFormat="1"/>
    <row r="419" s="81" customFormat="1"/>
    <row r="420" s="81" customFormat="1"/>
    <row r="421" s="81" customFormat="1"/>
    <row r="422" s="81" customFormat="1"/>
    <row r="423" s="81" customFormat="1"/>
    <row r="424" s="81" customFormat="1"/>
    <row r="425" s="81" customFormat="1"/>
    <row r="426" s="81" customFormat="1"/>
    <row r="427" s="81" customFormat="1"/>
    <row r="428" s="81" customFormat="1"/>
    <row r="429" s="81" customFormat="1"/>
    <row r="430" s="81" customFormat="1"/>
    <row r="431" s="81" customFormat="1"/>
    <row r="432" s="81" customFormat="1"/>
    <row r="433" s="81" customFormat="1"/>
    <row r="434" s="81" customFormat="1"/>
    <row r="435" s="81" customFormat="1"/>
    <row r="436" s="81" customFormat="1"/>
    <row r="437" s="81" customFormat="1"/>
    <row r="438" s="81" customFormat="1"/>
    <row r="439" s="81" customFormat="1"/>
    <row r="440" s="81" customFormat="1"/>
    <row r="441" s="81" customFormat="1"/>
    <row r="442" s="81" customFormat="1"/>
    <row r="443" s="81" customFormat="1"/>
    <row r="444" s="81" customFormat="1"/>
    <row r="445" s="81" customFormat="1"/>
    <row r="446" s="81" customFormat="1"/>
    <row r="447" s="81" customFormat="1"/>
    <row r="448" s="81" customFormat="1"/>
    <row r="449" s="81" customFormat="1"/>
    <row r="450" s="81" customFormat="1"/>
    <row r="451" s="81" customFormat="1"/>
    <row r="452" s="81" customFormat="1"/>
    <row r="453" s="81" customFormat="1"/>
    <row r="454" s="81" customFormat="1"/>
    <row r="455" s="81" customFormat="1"/>
    <row r="456" s="81" customFormat="1"/>
    <row r="457" s="81" customFormat="1"/>
    <row r="458" s="81" customFormat="1"/>
    <row r="459" s="81" customFormat="1"/>
    <row r="460" s="81" customFormat="1"/>
    <row r="461" s="81" customFormat="1"/>
    <row r="462" s="81" customFormat="1"/>
    <row r="463" s="81" customFormat="1"/>
    <row r="464" s="81" customFormat="1"/>
    <row r="465" s="81" customFormat="1"/>
    <row r="466" s="81" customFormat="1"/>
    <row r="467" s="81" customFormat="1"/>
    <row r="468" s="81" customFormat="1"/>
    <row r="469" s="81" customFormat="1"/>
    <row r="470" s="81" customFormat="1"/>
    <row r="471" s="81" customFormat="1"/>
    <row r="472" s="81" customFormat="1"/>
    <row r="473" s="81" customFormat="1"/>
    <row r="474" s="81" customFormat="1"/>
    <row r="475" s="81" customFormat="1"/>
    <row r="476" s="81" customFormat="1"/>
    <row r="477" s="81" customFormat="1"/>
    <row r="478" s="81" customFormat="1"/>
    <row r="479" s="81" customFormat="1"/>
    <row r="480" s="81" customFormat="1"/>
    <row r="481" s="81" customFormat="1"/>
    <row r="482" s="81" customFormat="1"/>
    <row r="483" s="81" customFormat="1"/>
    <row r="484" s="81" customFormat="1"/>
    <row r="485" s="81" customFormat="1"/>
    <row r="486" s="81" customFormat="1"/>
    <row r="487" s="81" customFormat="1"/>
    <row r="488" s="81" customFormat="1"/>
    <row r="489" s="81" customFormat="1"/>
    <row r="490" s="81" customFormat="1"/>
    <row r="491" s="81" customFormat="1"/>
    <row r="492" s="81" customFormat="1"/>
    <row r="493" s="81" customFormat="1"/>
    <row r="494" s="81" customFormat="1"/>
    <row r="495" s="81" customFormat="1"/>
    <row r="496" s="81" customFormat="1"/>
    <row r="497" s="81" customFormat="1"/>
    <row r="498" s="81" customFormat="1"/>
    <row r="499" s="81" customFormat="1"/>
    <row r="500" s="81" customFormat="1"/>
    <row r="501" s="81" customFormat="1"/>
    <row r="502" s="81" customFormat="1"/>
    <row r="503" s="81" customFormat="1"/>
    <row r="504" s="81" customFormat="1"/>
    <row r="505" s="81" customFormat="1"/>
    <row r="506" s="81" customFormat="1"/>
    <row r="507" s="81" customFormat="1"/>
    <row r="508" s="81" customFormat="1"/>
    <row r="509" s="81" customFormat="1"/>
    <row r="510" s="81" customFormat="1"/>
    <row r="511" s="81" customFormat="1"/>
    <row r="512" s="81" customFormat="1"/>
    <row r="513" s="81" customFormat="1"/>
    <row r="514" s="81" customFormat="1"/>
    <row r="515" s="81" customFormat="1"/>
    <row r="516" s="81" customFormat="1"/>
    <row r="517" s="81" customFormat="1"/>
    <row r="518" s="81" customFormat="1"/>
    <row r="519" s="81" customFormat="1"/>
    <row r="520" s="81" customFormat="1"/>
    <row r="521" s="81" customFormat="1"/>
    <row r="522" s="81" customFormat="1"/>
    <row r="523" s="81" customFormat="1"/>
    <row r="524" s="81" customFormat="1"/>
    <row r="525" s="81" customFormat="1"/>
    <row r="526" s="81" customFormat="1"/>
    <row r="527" s="81" customFormat="1"/>
    <row r="528" s="81" customFormat="1"/>
    <row r="529" s="81" customFormat="1"/>
    <row r="530" s="81" customFormat="1"/>
    <row r="531" s="81" customFormat="1"/>
    <row r="532" s="81" customFormat="1"/>
    <row r="533" s="81" customFormat="1"/>
    <row r="534" s="81" customFormat="1"/>
    <row r="535" s="81" customFormat="1"/>
    <row r="536" s="81" customFormat="1"/>
    <row r="537" s="81" customFormat="1"/>
    <row r="538" s="81" customFormat="1"/>
    <row r="539" s="81" customFormat="1"/>
    <row r="540" s="81" customFormat="1"/>
    <row r="541" s="81" customFormat="1"/>
    <row r="542" s="81" customFormat="1"/>
    <row r="543" s="81" customFormat="1"/>
    <row r="544" s="81" customFormat="1"/>
    <row r="545" s="81" customFormat="1"/>
    <row r="546" s="81" customFormat="1"/>
    <row r="547" s="81" customFormat="1"/>
    <row r="548" s="81" customFormat="1"/>
    <row r="549" s="81" customFormat="1"/>
    <row r="550" s="81" customFormat="1"/>
    <row r="551" s="81" customFormat="1"/>
    <row r="552" s="81" customFormat="1"/>
    <row r="553" s="81" customFormat="1"/>
    <row r="554" s="81" customFormat="1"/>
    <row r="555" s="81" customFormat="1"/>
    <row r="556" s="81" customFormat="1"/>
    <row r="557" s="81" customFormat="1"/>
    <row r="558" s="81" customFormat="1"/>
    <row r="559" s="81" customFormat="1"/>
    <row r="560" s="81" customFormat="1"/>
    <row r="561" s="81" customFormat="1"/>
    <row r="562" s="81" customFormat="1"/>
    <row r="563" s="81" customFormat="1"/>
    <row r="564" s="81" customFormat="1"/>
    <row r="565" s="81" customFormat="1"/>
    <row r="566" s="81" customFormat="1"/>
    <row r="567" s="81" customFormat="1"/>
    <row r="568" s="81" customFormat="1"/>
    <row r="569" s="81" customFormat="1"/>
    <row r="570" s="81" customFormat="1"/>
    <row r="571" s="81" customFormat="1"/>
    <row r="572" s="81" customFormat="1"/>
    <row r="573" s="81" customFormat="1"/>
    <row r="574" s="81" customFormat="1"/>
    <row r="575" s="81" customFormat="1"/>
    <row r="576" s="81" customFormat="1"/>
    <row r="577" s="81" customFormat="1"/>
    <row r="578" s="81" customFormat="1"/>
    <row r="579" s="81" customFormat="1"/>
    <row r="580" s="81" customFormat="1"/>
    <row r="581" s="81" customFormat="1"/>
    <row r="582" s="81" customFormat="1"/>
    <row r="583" s="81" customFormat="1"/>
    <row r="584" s="81" customFormat="1"/>
    <row r="585" s="81" customFormat="1"/>
    <row r="586" s="81" customFormat="1"/>
    <row r="587" s="81" customFormat="1"/>
    <row r="588" s="81" customFormat="1"/>
    <row r="589" s="81" customFormat="1"/>
    <row r="590" s="81" customFormat="1"/>
    <row r="591" s="81" customFormat="1"/>
    <row r="592" s="81" customFormat="1"/>
    <row r="593" s="81" customFormat="1"/>
    <row r="594" s="81" customFormat="1"/>
    <row r="595" s="81" customFormat="1"/>
    <row r="596" s="81" customFormat="1"/>
    <row r="597" s="81" customFormat="1"/>
    <row r="598" s="81" customFormat="1"/>
    <row r="599" s="81" customFormat="1"/>
    <row r="600" s="81" customFormat="1"/>
    <row r="601" s="81" customFormat="1"/>
    <row r="602" s="81" customFormat="1"/>
    <row r="603" s="81" customFormat="1"/>
    <row r="604" s="81" customFormat="1"/>
    <row r="605" s="81" customFormat="1"/>
    <row r="606" s="81" customFormat="1"/>
    <row r="607" s="81" customFormat="1"/>
    <row r="608" s="81" customFormat="1"/>
    <row r="609" s="81" customFormat="1"/>
    <row r="610" s="81" customFormat="1"/>
    <row r="611" s="81" customFormat="1"/>
    <row r="612" s="81" customFormat="1"/>
    <row r="613" s="81" customFormat="1"/>
    <row r="614" s="81" customFormat="1"/>
    <row r="615" s="81" customFormat="1"/>
    <row r="616" s="81" customFormat="1"/>
    <row r="617" s="81" customFormat="1"/>
    <row r="618" s="81" customFormat="1"/>
    <row r="619" s="81" customFormat="1"/>
    <row r="620" s="81" customFormat="1"/>
    <row r="621" s="81" customFormat="1"/>
    <row r="622" s="81" customFormat="1"/>
    <row r="623" s="81" customFormat="1"/>
    <row r="624" s="81" customFormat="1"/>
    <row r="625" s="81" customFormat="1"/>
    <row r="626" s="81" customFormat="1"/>
    <row r="627" s="81" customFormat="1"/>
    <row r="628" s="81" customFormat="1"/>
    <row r="629" s="81" customFormat="1"/>
    <row r="630" s="81" customFormat="1"/>
    <row r="631" s="81" customFormat="1"/>
    <row r="632" s="81" customFormat="1"/>
    <row r="633" s="81" customFormat="1"/>
    <row r="634" s="81" customFormat="1"/>
    <row r="635" s="81" customFormat="1"/>
    <row r="636" s="81" customFormat="1"/>
    <row r="637" s="81" customFormat="1"/>
    <row r="638" s="81" customFormat="1"/>
    <row r="639" s="81" customFormat="1"/>
    <row r="640" s="81" customFormat="1"/>
    <row r="641" s="81" customFormat="1"/>
    <row r="642" s="81" customFormat="1"/>
    <row r="643" s="81" customFormat="1"/>
    <row r="644" s="81" customFormat="1"/>
    <row r="645" s="81" customFormat="1"/>
    <row r="646" s="81" customFormat="1"/>
    <row r="647" s="81" customFormat="1"/>
    <row r="648" s="81" customFormat="1"/>
    <row r="649" s="81" customFormat="1"/>
    <row r="650" s="81" customFormat="1"/>
    <row r="651" s="81" customFormat="1"/>
    <row r="652" s="81" customFormat="1"/>
    <row r="653" s="81" customFormat="1"/>
    <row r="654" s="81" customFormat="1"/>
    <row r="655" s="81" customFormat="1"/>
    <row r="656" s="81" customFormat="1"/>
    <row r="657" s="81" customFormat="1"/>
    <row r="658" s="81" customFormat="1"/>
    <row r="659" s="81" customFormat="1"/>
    <row r="660" s="81" customFormat="1"/>
    <row r="661" s="81" customFormat="1"/>
    <row r="662" s="81" customFormat="1"/>
    <row r="663" s="81" customFormat="1"/>
    <row r="664" s="81" customFormat="1"/>
    <row r="665" s="81" customFormat="1"/>
    <row r="666" s="81" customFormat="1"/>
    <row r="667" s="81" customFormat="1"/>
    <row r="668" s="81" customFormat="1"/>
    <row r="669" s="81" customFormat="1"/>
    <row r="670" s="81" customFormat="1"/>
    <row r="671" s="81" customFormat="1"/>
    <row r="672" s="81" customFormat="1"/>
    <row r="673" s="81" customFormat="1"/>
    <row r="674" s="81" customFormat="1"/>
    <row r="675" s="81" customFormat="1"/>
    <row r="676" s="81" customFormat="1"/>
    <row r="677" s="81" customFormat="1"/>
    <row r="678" s="81" customFormat="1"/>
    <row r="679" s="81" customFormat="1"/>
    <row r="680" s="81" customFormat="1"/>
    <row r="681" s="81" customFormat="1"/>
    <row r="682" s="81" customFormat="1"/>
    <row r="683" s="81" customFormat="1"/>
    <row r="684" s="81" customFormat="1"/>
    <row r="685" s="81" customFormat="1"/>
    <row r="686" s="81" customFormat="1"/>
    <row r="687" s="81" customFormat="1"/>
    <row r="688" s="81" customFormat="1"/>
    <row r="689" s="81" customFormat="1"/>
    <row r="690" s="81" customFormat="1"/>
    <row r="691" s="81" customFormat="1"/>
    <row r="692" s="81" customFormat="1"/>
    <row r="693" s="81" customFormat="1"/>
    <row r="694" s="81" customFormat="1"/>
    <row r="695" s="81" customFormat="1"/>
    <row r="696" s="81" customFormat="1"/>
    <row r="697" s="81" customFormat="1"/>
    <row r="698" s="81" customFormat="1"/>
    <row r="699" s="81" customFormat="1"/>
    <row r="700" s="81" customFormat="1"/>
    <row r="701" s="81" customFormat="1"/>
    <row r="702" s="81" customFormat="1"/>
    <row r="703" s="81" customFormat="1"/>
    <row r="704" s="81" customFormat="1"/>
    <row r="705" s="81" customFormat="1"/>
    <row r="706" s="81" customFormat="1"/>
    <row r="707" s="81" customFormat="1"/>
    <row r="708" s="81" customFormat="1"/>
    <row r="709" s="81" customFormat="1"/>
    <row r="710" s="81" customFormat="1"/>
    <row r="711" s="81" customFormat="1"/>
    <row r="712" s="81" customFormat="1"/>
    <row r="713" s="81" customFormat="1"/>
    <row r="714" s="81" customFormat="1"/>
    <row r="715" s="81" customFormat="1"/>
    <row r="716" s="81" customFormat="1"/>
    <row r="717" s="81" customFormat="1"/>
    <row r="718" s="81" customFormat="1"/>
    <row r="719" s="81" customFormat="1"/>
    <row r="720" s="81" customFormat="1"/>
    <row r="721" s="81" customFormat="1"/>
    <row r="722" s="81" customFormat="1"/>
    <row r="723" s="81" customFormat="1"/>
    <row r="724" s="81" customFormat="1"/>
    <row r="725" s="81" customFormat="1"/>
    <row r="726" s="81" customFormat="1"/>
    <row r="727" s="81" customFormat="1"/>
    <row r="728" s="81" customFormat="1"/>
    <row r="729" s="81" customFormat="1"/>
    <row r="730" s="81" customFormat="1"/>
    <row r="731" s="81" customFormat="1"/>
    <row r="732" s="81" customFormat="1"/>
    <row r="733" s="81" customFormat="1"/>
    <row r="734" s="81" customFormat="1"/>
    <row r="735" s="81" customFormat="1"/>
    <row r="736" s="81" customFormat="1"/>
    <row r="737" s="81" customFormat="1"/>
    <row r="738" s="81" customFormat="1"/>
    <row r="739" s="81" customFormat="1"/>
    <row r="740" s="81" customFormat="1"/>
    <row r="741" s="81" customFormat="1"/>
    <row r="742" s="81" customFormat="1"/>
    <row r="743" s="81" customFormat="1"/>
    <row r="744" s="81" customFormat="1"/>
    <row r="745" s="81" customFormat="1"/>
    <row r="746" s="81" customFormat="1"/>
    <row r="747" s="81" customFormat="1"/>
    <row r="748" s="81" customFormat="1"/>
    <row r="749" s="81" customFormat="1"/>
    <row r="750" s="81" customFormat="1"/>
    <row r="751" s="81" customFormat="1"/>
    <row r="752" s="81" customFormat="1"/>
    <row r="753" s="81" customFormat="1"/>
    <row r="754" s="81" customFormat="1"/>
    <row r="755" s="81" customFormat="1"/>
    <row r="756" s="81" customFormat="1"/>
    <row r="757" s="81" customFormat="1"/>
    <row r="758" s="81" customFormat="1"/>
    <row r="759" s="81" customFormat="1"/>
    <row r="760" s="81" customFormat="1"/>
    <row r="761" s="81" customFormat="1"/>
    <row r="762" s="81" customFormat="1"/>
    <row r="763" s="81" customFormat="1"/>
    <row r="764" s="81" customFormat="1"/>
    <row r="765" s="81" customFormat="1"/>
    <row r="766" s="81" customFormat="1"/>
    <row r="767" s="81" customFormat="1"/>
    <row r="768" s="81" customFormat="1"/>
    <row r="769" s="81" customFormat="1"/>
    <row r="770" s="81" customFormat="1"/>
    <row r="771" s="81" customFormat="1"/>
    <row r="772" s="81" customFormat="1"/>
    <row r="773" s="81" customFormat="1"/>
    <row r="774" s="81" customFormat="1"/>
    <row r="775" s="81" customFormat="1"/>
    <row r="776" s="81" customFormat="1"/>
    <row r="777" s="81" customFormat="1"/>
    <row r="778" s="81" customFormat="1"/>
    <row r="779" s="81" customFormat="1"/>
    <row r="780" s="81" customFormat="1"/>
    <row r="781" s="81" customFormat="1"/>
    <row r="782" s="81" customFormat="1"/>
    <row r="783" s="81" customFormat="1"/>
    <row r="784" s="81" customFormat="1"/>
    <row r="785" s="81" customFormat="1"/>
    <row r="786" s="81" customFormat="1"/>
    <row r="787" s="81" customFormat="1"/>
    <row r="788" s="81" customFormat="1"/>
    <row r="789" s="81" customFormat="1"/>
    <row r="790" s="81" customFormat="1"/>
    <row r="791" s="81" customFormat="1"/>
    <row r="792" s="81" customFormat="1"/>
    <row r="793" s="81" customFormat="1"/>
    <row r="794" s="81" customFormat="1"/>
    <row r="795" s="81" customFormat="1"/>
    <row r="796" s="81" customFormat="1"/>
    <row r="797" s="81" customFormat="1"/>
    <row r="798" s="81" customFormat="1"/>
    <row r="799" s="81" customFormat="1"/>
    <row r="800" s="81" customFormat="1"/>
    <row r="801" s="81" customFormat="1"/>
    <row r="802" s="81" customFormat="1"/>
    <row r="803" s="81" customFormat="1"/>
    <row r="804" s="81" customFormat="1"/>
    <row r="805" s="81" customFormat="1"/>
    <row r="806" s="81" customFormat="1"/>
    <row r="807" s="81" customFormat="1"/>
    <row r="815" s="81" customFormat="1"/>
    <row r="816" s="81" customFormat="1"/>
    <row r="817" s="81" customFormat="1"/>
    <row r="818" s="81" customFormat="1"/>
    <row r="819" s="81" customFormat="1"/>
    <row r="820" s="81" customFormat="1"/>
    <row r="821" s="81" customFormat="1"/>
    <row r="822" s="81" customFormat="1"/>
    <row r="823" s="81" customFormat="1"/>
    <row r="824" s="81" customFormat="1"/>
    <row r="825" s="81" customFormat="1"/>
    <row r="826" s="81" customFormat="1"/>
    <row r="827" s="81" customFormat="1"/>
    <row r="828" s="81" customFormat="1"/>
    <row r="829" s="81" customFormat="1"/>
    <row r="830" s="81" customFormat="1"/>
    <row r="831" s="81" customFormat="1"/>
    <row r="832" s="81" customFormat="1"/>
    <row r="833" s="81" customFormat="1"/>
    <row r="834" s="81" customFormat="1"/>
    <row r="835" s="81" customFormat="1"/>
    <row r="836" s="81" customFormat="1"/>
    <row r="837" s="81" customFormat="1"/>
    <row r="838" s="81" customFormat="1"/>
    <row r="839" s="81" customFormat="1"/>
    <row r="840" s="81" customFormat="1"/>
    <row r="841" s="81" customFormat="1"/>
    <row r="842" s="81" customFormat="1"/>
    <row r="843" s="81" customFormat="1"/>
    <row r="844" s="81" customFormat="1"/>
    <row r="845" s="81" customFormat="1"/>
    <row r="846" s="81" customFormat="1"/>
    <row r="847" s="81" customFormat="1"/>
    <row r="848" s="81" customFormat="1"/>
    <row r="849" s="81" customFormat="1"/>
    <row r="850" s="81" customFormat="1"/>
    <row r="851" s="81" customFormat="1"/>
    <row r="852" s="81" customFormat="1"/>
    <row r="853" s="81" customFormat="1"/>
    <row r="854" s="81" customFormat="1"/>
    <row r="855" s="81" customFormat="1"/>
    <row r="856" s="81" customFormat="1"/>
    <row r="857" s="81" customFormat="1"/>
    <row r="858" s="81" customFormat="1"/>
    <row r="859" s="81" customFormat="1"/>
    <row r="860" s="81" customFormat="1"/>
    <row r="861" s="81" customFormat="1"/>
    <row r="862" s="81" customFormat="1"/>
    <row r="863" s="81" customFormat="1"/>
    <row r="864" s="81" customFormat="1"/>
    <row r="865" s="81" customFormat="1"/>
    <row r="866" s="81" customFormat="1"/>
    <row r="867" s="81" customFormat="1"/>
    <row r="868" s="81" customFormat="1"/>
    <row r="869" s="81" customFormat="1"/>
    <row r="870" s="81" customFormat="1"/>
    <row r="871" s="81" customFormat="1"/>
    <row r="872" s="81" customFormat="1"/>
    <row r="873" s="81" customFormat="1"/>
    <row r="874" s="81" customFormat="1"/>
    <row r="875" s="81" customFormat="1"/>
    <row r="876" s="81" customFormat="1"/>
    <row r="877" s="81" customFormat="1"/>
    <row r="878" s="81" customFormat="1"/>
    <row r="879" s="81" customFormat="1"/>
    <row r="880" s="81" customFormat="1"/>
    <row r="881" s="81" customFormat="1"/>
    <row r="882" s="81" customFormat="1"/>
    <row r="883" s="81" customFormat="1"/>
    <row r="884" s="81" customFormat="1"/>
    <row r="885" s="81" customFormat="1"/>
    <row r="886" s="81" customFormat="1"/>
    <row r="887" s="81" customFormat="1"/>
    <row r="888" s="81" customFormat="1"/>
    <row r="889" s="81" customFormat="1"/>
    <row r="890" s="81" customFormat="1"/>
    <row r="891" s="81" customFormat="1"/>
    <row r="892" s="81" customFormat="1"/>
    <row r="893" s="81" customFormat="1"/>
    <row r="894" s="81" customFormat="1"/>
    <row r="895" s="81" customFormat="1"/>
    <row r="896" s="81" customFormat="1"/>
    <row r="897" s="81" customFormat="1"/>
    <row r="898" s="81" customFormat="1"/>
    <row r="899" s="81" customFormat="1"/>
    <row r="900" s="81" customFormat="1"/>
    <row r="901" s="81" customFormat="1"/>
    <row r="902" s="81" customFormat="1"/>
    <row r="903" s="81" customFormat="1"/>
    <row r="904" s="81" customFormat="1"/>
    <row r="905" s="81" customFormat="1"/>
    <row r="906" s="81" customFormat="1"/>
    <row r="907" s="81" customFormat="1"/>
    <row r="908" s="81" customFormat="1"/>
    <row r="909" s="81" customFormat="1"/>
    <row r="910" s="81" customFormat="1"/>
    <row r="911" s="81" customFormat="1"/>
    <row r="912" s="81" customFormat="1"/>
    <row r="913" s="81" customFormat="1"/>
    <row r="914" s="81" customFormat="1"/>
    <row r="915" s="81" customFormat="1"/>
  </sheetData>
  <autoFilter ref="A1:X44" xr:uid="{00000000-0009-0000-0000-000002000000}"/>
  <conditionalFormatting sqref="B7">
    <cfRule type="duplicateValues" dxfId="239" priority="236"/>
    <cfRule type="duplicateValues" dxfId="238" priority="234"/>
    <cfRule type="duplicateValues" dxfId="237" priority="233"/>
    <cfRule type="duplicateValues" dxfId="236" priority="232"/>
  </conditionalFormatting>
  <conditionalFormatting sqref="B8">
    <cfRule type="duplicateValues" dxfId="235" priority="202"/>
    <cfRule type="duplicateValues" dxfId="234" priority="200"/>
    <cfRule type="duplicateValues" dxfId="233" priority="201"/>
  </conditionalFormatting>
  <conditionalFormatting sqref="B9">
    <cfRule type="duplicateValues" dxfId="232" priority="231"/>
  </conditionalFormatting>
  <conditionalFormatting sqref="B11">
    <cfRule type="duplicateValues" dxfId="231" priority="122"/>
  </conditionalFormatting>
  <conditionalFormatting sqref="B11:B16">
    <cfRule type="duplicateValues" dxfId="230" priority="121"/>
  </conditionalFormatting>
  <conditionalFormatting sqref="B12:B16">
    <cfRule type="duplicateValues" dxfId="229" priority="134"/>
    <cfRule type="duplicateValues" dxfId="228" priority="133"/>
    <cfRule type="duplicateValues" dxfId="227" priority="131"/>
    <cfRule type="duplicateValues" dxfId="226" priority="125"/>
    <cfRule type="duplicateValues" dxfId="225" priority="124"/>
  </conditionalFormatting>
  <conditionalFormatting sqref="B17:B21 B23 B25:B27">
    <cfRule type="duplicateValues" dxfId="224" priority="106"/>
    <cfRule type="duplicateValues" dxfId="223" priority="102"/>
  </conditionalFormatting>
  <conditionalFormatting sqref="B22">
    <cfRule type="duplicateValues" dxfId="222" priority="81"/>
    <cfRule type="duplicateValues" dxfId="221" priority="80"/>
    <cfRule type="duplicateValues" dxfId="220" priority="79"/>
    <cfRule type="duplicateValues" dxfId="219" priority="78"/>
    <cfRule type="duplicateValues" dxfId="218" priority="77"/>
  </conditionalFormatting>
  <conditionalFormatting sqref="B24">
    <cfRule type="duplicateValues" dxfId="217" priority="73"/>
    <cfRule type="duplicateValues" dxfId="216" priority="74"/>
    <cfRule type="duplicateValues" dxfId="215" priority="75"/>
    <cfRule type="duplicateValues" dxfId="214" priority="76"/>
    <cfRule type="duplicateValues" dxfId="213" priority="72"/>
  </conditionalFormatting>
  <conditionalFormatting sqref="B25">
    <cfRule type="duplicateValues" dxfId="212" priority="107"/>
    <cfRule type="duplicateValues" dxfId="211" priority="113"/>
    <cfRule type="duplicateValues" dxfId="210" priority="111"/>
    <cfRule type="duplicateValues" dxfId="209" priority="110"/>
    <cfRule type="duplicateValues" dxfId="208" priority="112"/>
    <cfRule type="duplicateValues" dxfId="207" priority="109"/>
  </conditionalFormatting>
  <conditionalFormatting sqref="B26 B23">
    <cfRule type="duplicateValues" dxfId="206" priority="120"/>
  </conditionalFormatting>
  <conditionalFormatting sqref="B26:B27 B17:B21 B23">
    <cfRule type="duplicateValues" dxfId="205" priority="114"/>
  </conditionalFormatting>
  <conditionalFormatting sqref="B27 B17:B21">
    <cfRule type="duplicateValues" dxfId="204" priority="116"/>
    <cfRule type="duplicateValues" dxfId="203" priority="119"/>
    <cfRule type="duplicateValues" dxfId="202" priority="118"/>
  </conditionalFormatting>
  <conditionalFormatting sqref="B28:B30 B32:B33 B35">
    <cfRule type="duplicateValues" dxfId="201" priority="61520"/>
  </conditionalFormatting>
  <conditionalFormatting sqref="B29">
    <cfRule type="duplicateValues" dxfId="200" priority="61495"/>
  </conditionalFormatting>
  <conditionalFormatting sqref="B31">
    <cfRule type="duplicateValues" dxfId="199" priority="67"/>
    <cfRule type="duplicateValues" dxfId="198" priority="68"/>
    <cfRule type="duplicateValues" dxfId="197" priority="69"/>
    <cfRule type="duplicateValues" dxfId="196" priority="70"/>
    <cfRule type="duplicateValues" dxfId="195" priority="71"/>
  </conditionalFormatting>
  <conditionalFormatting sqref="B32:B33 B28:B29 B35">
    <cfRule type="duplicateValues" dxfId="194" priority="89"/>
  </conditionalFormatting>
  <conditionalFormatting sqref="B32:B33 B28:B29">
    <cfRule type="duplicateValues" dxfId="193" priority="99"/>
    <cfRule type="duplicateValues" dxfId="192" priority="95"/>
  </conditionalFormatting>
  <conditionalFormatting sqref="B32:B33 B35 B28:B29">
    <cfRule type="duplicateValues" dxfId="191" priority="61515"/>
  </conditionalFormatting>
  <conditionalFormatting sqref="B32:B33">
    <cfRule type="duplicateValues" dxfId="190" priority="98"/>
  </conditionalFormatting>
  <conditionalFormatting sqref="B34">
    <cfRule type="duplicateValues" dxfId="189" priority="63"/>
    <cfRule type="duplicateValues" dxfId="188" priority="65"/>
    <cfRule type="duplicateValues" dxfId="187" priority="64"/>
    <cfRule type="duplicateValues" dxfId="186" priority="62"/>
    <cfRule type="duplicateValues" dxfId="185" priority="66"/>
  </conditionalFormatting>
  <conditionalFormatting sqref="B35">
    <cfRule type="duplicateValues" dxfId="184" priority="90"/>
  </conditionalFormatting>
  <conditionalFormatting sqref="B36">
    <cfRule type="duplicateValues" dxfId="183" priority="57"/>
    <cfRule type="duplicateValues" dxfId="182" priority="61"/>
    <cfRule type="duplicateValues" dxfId="181" priority="60"/>
    <cfRule type="duplicateValues" dxfId="180" priority="59"/>
    <cfRule type="duplicateValues" dxfId="179" priority="58"/>
  </conditionalFormatting>
  <conditionalFormatting sqref="B37">
    <cfRule type="duplicateValues" dxfId="178" priority="51"/>
    <cfRule type="duplicateValues" dxfId="177" priority="52"/>
    <cfRule type="duplicateValues" dxfId="176" priority="53"/>
    <cfRule type="duplicateValues" dxfId="175" priority="54"/>
    <cfRule type="duplicateValues" dxfId="174" priority="55"/>
    <cfRule type="duplicateValues" dxfId="173" priority="56"/>
  </conditionalFormatting>
  <conditionalFormatting sqref="B38">
    <cfRule type="duplicateValues" dxfId="172" priority="50"/>
    <cfRule type="duplicateValues" dxfId="171" priority="49"/>
    <cfRule type="duplicateValues" dxfId="170" priority="47"/>
    <cfRule type="duplicateValues" dxfId="169" priority="46"/>
    <cfRule type="duplicateValues" dxfId="168" priority="48"/>
  </conditionalFormatting>
  <conditionalFormatting sqref="B39">
    <cfRule type="duplicateValues" dxfId="167" priority="43"/>
    <cfRule type="duplicateValues" dxfId="166" priority="45"/>
    <cfRule type="duplicateValues" dxfId="165" priority="41"/>
    <cfRule type="duplicateValues" dxfId="164" priority="42"/>
    <cfRule type="duplicateValues" dxfId="163" priority="44"/>
  </conditionalFormatting>
  <conditionalFormatting sqref="B40">
    <cfRule type="duplicateValues" dxfId="162" priority="40"/>
    <cfRule type="duplicateValues" dxfId="161" priority="39"/>
    <cfRule type="duplicateValues" dxfId="160" priority="38"/>
    <cfRule type="duplicateValues" dxfId="159" priority="37"/>
    <cfRule type="duplicateValues" dxfId="158" priority="36"/>
    <cfRule type="duplicateValues" dxfId="157" priority="35"/>
    <cfRule type="duplicateValues" dxfId="156" priority="34"/>
  </conditionalFormatting>
  <conditionalFormatting sqref="B41">
    <cfRule type="duplicateValues" dxfId="155" priority="29"/>
    <cfRule type="duplicateValues" dxfId="154" priority="30"/>
    <cfRule type="duplicateValues" dxfId="153" priority="31"/>
    <cfRule type="duplicateValues" dxfId="152" priority="33"/>
    <cfRule type="duplicateValues" dxfId="151" priority="32"/>
    <cfRule type="duplicateValues" dxfId="150" priority="28"/>
  </conditionalFormatting>
  <conditionalFormatting sqref="B42:B44">
    <cfRule type="duplicateValues" dxfId="149" priority="25"/>
    <cfRule type="duplicateValues" dxfId="148" priority="27"/>
    <cfRule type="duplicateValues" dxfId="147" priority="26"/>
    <cfRule type="duplicateValues" dxfId="146" priority="24"/>
    <cfRule type="duplicateValues" dxfId="145" priority="23"/>
    <cfRule type="duplicateValues" dxfId="144" priority="22"/>
    <cfRule type="duplicateValues" dxfId="143" priority="21"/>
  </conditionalFormatting>
  <conditionalFormatting sqref="B45:B1048576 B1:B6">
    <cfRule type="duplicateValues" dxfId="142" priority="253"/>
  </conditionalFormatting>
  <conditionalFormatting sqref="B45:B1048576 B1:B9">
    <cfRule type="duplicateValues" dxfId="141" priority="199"/>
  </conditionalFormatting>
  <conditionalFormatting sqref="B45:B1048576 B1:B10">
    <cfRule type="duplicateValues" dxfId="140" priority="135"/>
  </conditionalFormatting>
  <conditionalFormatting sqref="B45:B1048576 B1:B21 B23 B25:B30 B32:B33 B35">
    <cfRule type="duplicateValues" dxfId="139" priority="82"/>
  </conditionalFormatting>
  <conditionalFormatting sqref="B45:B1048576 B9 B1:B7">
    <cfRule type="duplicateValues" dxfId="138" priority="203"/>
  </conditionalFormatting>
  <conditionalFormatting sqref="B45:B1048576">
    <cfRule type="duplicateValues" dxfId="137" priority="257"/>
    <cfRule type="duplicateValues" dxfId="136" priority="256"/>
  </conditionalFormatting>
  <conditionalFormatting sqref="B45:C1048576 B1:C1 C44">
    <cfRule type="duplicateValues" dxfId="135" priority="251"/>
  </conditionalFormatting>
  <conditionalFormatting sqref="B45:C1048576 C44">
    <cfRule type="duplicateValues" dxfId="134" priority="250"/>
  </conditionalFormatting>
  <conditionalFormatting sqref="C1:C39 C44:C1048576">
    <cfRule type="duplicateValues" dxfId="133" priority="83"/>
    <cfRule type="duplicateValues" dxfId="132" priority="209"/>
  </conditionalFormatting>
  <conditionalFormatting sqref="C7">
    <cfRule type="duplicateValues" dxfId="131" priority="235"/>
  </conditionalFormatting>
  <conditionalFormatting sqref="C8">
    <cfRule type="duplicateValues" dxfId="130" priority="262"/>
  </conditionalFormatting>
  <conditionalFormatting sqref="C9">
    <cfRule type="duplicateValues" dxfId="129" priority="139"/>
    <cfRule type="duplicateValues" dxfId="128" priority="138"/>
  </conditionalFormatting>
  <conditionalFormatting sqref="C11">
    <cfRule type="duplicateValues" dxfId="127" priority="123"/>
  </conditionalFormatting>
  <conditionalFormatting sqref="C12:C16">
    <cfRule type="duplicateValues" dxfId="126" priority="126"/>
    <cfRule type="duplicateValues" dxfId="125" priority="132"/>
  </conditionalFormatting>
  <conditionalFormatting sqref="C16">
    <cfRule type="duplicateValues" dxfId="124" priority="127"/>
    <cfRule type="duplicateValues" dxfId="123" priority="129"/>
    <cfRule type="duplicateValues" dxfId="122" priority="130"/>
    <cfRule type="duplicateValues" dxfId="121" priority="128"/>
  </conditionalFormatting>
  <conditionalFormatting sqref="C17:C21 C27">
    <cfRule type="duplicateValues" dxfId="120" priority="117"/>
  </conditionalFormatting>
  <conditionalFormatting sqref="C22">
    <cfRule type="duplicateValues" dxfId="119" priority="103"/>
  </conditionalFormatting>
  <conditionalFormatting sqref="C23">
    <cfRule type="duplicateValues" dxfId="118" priority="105"/>
  </conditionalFormatting>
  <conditionalFormatting sqref="C25">
    <cfRule type="duplicateValues" dxfId="117" priority="108"/>
  </conditionalFormatting>
  <conditionalFormatting sqref="C26">
    <cfRule type="duplicateValues" dxfId="116" priority="104"/>
  </conditionalFormatting>
  <conditionalFormatting sqref="C27 C17:C21">
    <cfRule type="duplicateValues" dxfId="115" priority="115"/>
  </conditionalFormatting>
  <conditionalFormatting sqref="C30">
    <cfRule type="duplicateValues" dxfId="114" priority="86"/>
    <cfRule type="duplicateValues" dxfId="113" priority="87"/>
  </conditionalFormatting>
  <conditionalFormatting sqref="C32:C33 C28:C29">
    <cfRule type="duplicateValues" dxfId="112" priority="91"/>
  </conditionalFormatting>
  <conditionalFormatting sqref="C32:C33">
    <cfRule type="duplicateValues" dxfId="111" priority="96"/>
  </conditionalFormatting>
  <conditionalFormatting sqref="C36">
    <cfRule type="duplicateValues" dxfId="110" priority="85"/>
  </conditionalFormatting>
  <conditionalFormatting sqref="C40">
    <cfRule type="duplicateValues" dxfId="109" priority="13"/>
    <cfRule type="duplicateValues" dxfId="108" priority="14"/>
    <cfRule type="duplicateValues" dxfId="107" priority="17"/>
    <cfRule type="duplicateValues" dxfId="106" priority="15"/>
    <cfRule type="duplicateValues" dxfId="105" priority="18"/>
    <cfRule type="duplicateValues" dxfId="104" priority="19"/>
    <cfRule type="duplicateValues" dxfId="103" priority="20"/>
    <cfRule type="duplicateValues" dxfId="102" priority="16"/>
  </conditionalFormatting>
  <conditionalFormatting sqref="C42">
    <cfRule type="duplicateValues" dxfId="101" priority="6"/>
    <cfRule type="duplicateValues" dxfId="100" priority="5"/>
    <cfRule type="duplicateValues" dxfId="99" priority="4"/>
    <cfRule type="duplicateValues" dxfId="98" priority="3"/>
    <cfRule type="duplicateValues" dxfId="97" priority="1"/>
    <cfRule type="duplicateValues" dxfId="96" priority="2"/>
    <cfRule type="duplicateValues" dxfId="95" priority="7"/>
  </conditionalFormatting>
  <conditionalFormatting sqref="C43">
    <cfRule type="duplicateValues" dxfId="94" priority="11"/>
    <cfRule type="duplicateValues" dxfId="93" priority="10"/>
    <cfRule type="duplicateValues" dxfId="92" priority="9"/>
    <cfRule type="duplicateValues" dxfId="91" priority="8"/>
    <cfRule type="duplicateValues" dxfId="90" priority="12"/>
  </conditionalFormatting>
  <printOptions horizontalCentered="1"/>
  <pageMargins left="0.19685039370078741" right="0.23622047244094491" top="0.23622047244094491" bottom="0.19685039370078741" header="0.15748031496062992" footer="0.27559055118110237"/>
  <pageSetup paperSize="9" scale="51" fitToHeight="5" orientation="landscape" horizontalDpi="300" verticalDpi="300" r:id="rId1"/>
  <ignoredErrors>
    <ignoredError sqref="S2:S37 S38:S3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zoomScaleNormal="100" workbookViewId="0">
      <selection activeCell="Q5" sqref="Q5"/>
    </sheetView>
  </sheetViews>
  <sheetFormatPr defaultColWidth="14.44140625" defaultRowHeight="13.2"/>
  <cols>
    <col min="1" max="16384" width="14.44140625" style="80"/>
  </cols>
  <sheetData/>
  <pageMargins left="0.27559055118110237" right="0.23622047244094491" top="0.19685039370078741" bottom="0.23622047244094491" header="0.19685039370078741" footer="0.19685039370078741"/>
  <pageSetup paperSize="9" scale="45" fitToHeight="2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Z116"/>
  <sheetViews>
    <sheetView workbookViewId="0">
      <selection activeCell="Y3" sqref="Y3"/>
    </sheetView>
  </sheetViews>
  <sheetFormatPr defaultColWidth="9.33203125" defaultRowHeight="13.2"/>
  <cols>
    <col min="1" max="1" width="8.77734375" style="80" bestFit="1" customWidth="1"/>
    <col min="2" max="2" width="16" style="80" bestFit="1" customWidth="1"/>
    <col min="3" max="3" width="16.77734375" style="79" customWidth="1"/>
    <col min="4" max="4" width="44.33203125" style="80" customWidth="1"/>
    <col min="5" max="5" width="9.44140625" style="80" customWidth="1"/>
    <col min="6" max="6" width="2.109375" style="80" bestFit="1" customWidth="1"/>
    <col min="7" max="7" width="3.109375" style="80" bestFit="1" customWidth="1"/>
    <col min="8" max="8" width="5.109375" style="80" bestFit="1" customWidth="1"/>
    <col min="9" max="9" width="3.109375" style="80" bestFit="1" customWidth="1"/>
    <col min="10" max="10" width="4.109375" style="80" bestFit="1" customWidth="1"/>
    <col min="11" max="11" width="3.109375" style="80" bestFit="1" customWidth="1"/>
    <col min="12" max="13" width="5.109375" style="80" bestFit="1" customWidth="1"/>
    <col min="14" max="14" width="3.109375" style="80" bestFit="1" customWidth="1"/>
    <col min="15" max="15" width="5.109375" style="80" bestFit="1" customWidth="1"/>
    <col min="16" max="16" width="3.109375" style="80" customWidth="1"/>
    <col min="17" max="19" width="5.109375" style="80" customWidth="1"/>
    <col min="20" max="20" width="3.109375" style="80" bestFit="1" customWidth="1"/>
    <col min="21" max="21" width="5.77734375" style="80" bestFit="1" customWidth="1"/>
    <col min="22" max="22" width="51.77734375" style="80" bestFit="1" customWidth="1"/>
    <col min="23" max="24" width="9.33203125" style="80"/>
    <col min="25" max="25" width="8.44140625" style="80" bestFit="1" customWidth="1"/>
    <col min="26" max="16384" width="9.33203125" style="80"/>
  </cols>
  <sheetData>
    <row r="1" spans="1:26">
      <c r="A1" s="126">
        <v>46113</v>
      </c>
      <c r="B1" s="99"/>
      <c r="C1" s="96"/>
      <c r="D1" s="99"/>
      <c r="E1" s="99"/>
      <c r="F1" s="99"/>
      <c r="G1" s="99"/>
      <c r="H1" s="99"/>
      <c r="I1" s="99" t="s">
        <v>58</v>
      </c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</row>
    <row r="2" spans="1:26">
      <c r="A2" s="99" t="s">
        <v>59</v>
      </c>
      <c r="B2" s="99" t="s">
        <v>364</v>
      </c>
      <c r="C2" s="96" t="s">
        <v>365</v>
      </c>
      <c r="D2" s="99" t="s">
        <v>148</v>
      </c>
      <c r="E2" s="99"/>
      <c r="F2" s="99">
        <v>1</v>
      </c>
      <c r="G2" s="99">
        <v>2</v>
      </c>
      <c r="H2" s="99">
        <v>3</v>
      </c>
      <c r="I2" s="99">
        <v>4</v>
      </c>
      <c r="J2" s="99">
        <v>5</v>
      </c>
      <c r="K2" s="99">
        <v>6</v>
      </c>
      <c r="L2" s="99">
        <v>7</v>
      </c>
      <c r="M2" s="99">
        <v>8</v>
      </c>
      <c r="N2" s="99">
        <v>9</v>
      </c>
      <c r="O2" s="99">
        <v>10</v>
      </c>
      <c r="P2" s="99">
        <v>11</v>
      </c>
      <c r="Q2" s="99">
        <v>12</v>
      </c>
      <c r="R2" s="99">
        <v>13</v>
      </c>
      <c r="S2" s="99">
        <v>14</v>
      </c>
      <c r="T2" s="99">
        <v>15</v>
      </c>
      <c r="U2" s="99" t="s">
        <v>366</v>
      </c>
      <c r="Y2" s="80" t="s">
        <v>472</v>
      </c>
    </row>
    <row r="3" spans="1:26">
      <c r="A3" s="99">
        <v>2</v>
      </c>
      <c r="B3" s="99" t="s">
        <v>252</v>
      </c>
      <c r="C3" s="96">
        <v>101540070377</v>
      </c>
      <c r="D3" s="99" t="s">
        <v>300</v>
      </c>
      <c r="E3" s="99" t="s">
        <v>378</v>
      </c>
      <c r="F3" s="99"/>
      <c r="G3" s="99">
        <v>1</v>
      </c>
      <c r="H3" s="99">
        <v>1</v>
      </c>
      <c r="I3" s="99">
        <v>1</v>
      </c>
      <c r="J3" s="99">
        <v>1</v>
      </c>
      <c r="K3" s="99">
        <v>1</v>
      </c>
      <c r="L3" s="99">
        <v>1</v>
      </c>
      <c r="M3" s="99">
        <v>1</v>
      </c>
      <c r="N3" s="99"/>
      <c r="O3" s="99"/>
      <c r="P3" s="99"/>
      <c r="Q3" s="99"/>
      <c r="R3" s="99"/>
      <c r="S3" s="99">
        <v>1</v>
      </c>
      <c r="T3" s="99">
        <v>1</v>
      </c>
      <c r="U3" s="99">
        <f t="shared" ref="U3:U34" si="0">SUM(F3:T3)</f>
        <v>9</v>
      </c>
      <c r="V3" s="80" t="e">
        <f>VLOOKUP(C3,#REF!,3,0)</f>
        <v>#REF!</v>
      </c>
      <c r="W3" s="80">
        <f>VLOOKUP(D3,[1]Sheet3!$F:$AM,34,0)</f>
        <v>30.5</v>
      </c>
      <c r="Y3" s="80">
        <f>VLOOKUP(D3,[1]Sheet3!$F:$AN,35,0)</f>
        <v>0</v>
      </c>
      <c r="Z3" s="80" t="e">
        <f t="shared" ref="Z3:Z66" si="1">Y3=V3</f>
        <v>#REF!</v>
      </c>
    </row>
    <row r="4" spans="1:26">
      <c r="A4" s="99">
        <v>3</v>
      </c>
      <c r="B4" s="99" t="s">
        <v>251</v>
      </c>
      <c r="C4" s="96">
        <v>101424675655</v>
      </c>
      <c r="D4" s="99" t="s">
        <v>301</v>
      </c>
      <c r="E4" s="99" t="s">
        <v>378</v>
      </c>
      <c r="F4" s="99"/>
      <c r="G4" s="99">
        <v>1</v>
      </c>
      <c r="H4" s="99">
        <v>1</v>
      </c>
      <c r="I4" s="99">
        <v>1</v>
      </c>
      <c r="J4" s="99">
        <v>1</v>
      </c>
      <c r="K4" s="99"/>
      <c r="L4" s="99">
        <v>1</v>
      </c>
      <c r="M4" s="99">
        <v>1</v>
      </c>
      <c r="N4" s="99">
        <v>1</v>
      </c>
      <c r="O4" s="99">
        <v>1</v>
      </c>
      <c r="P4" s="99">
        <v>1</v>
      </c>
      <c r="Q4" s="99">
        <v>1</v>
      </c>
      <c r="R4" s="99"/>
      <c r="S4" s="99">
        <v>1</v>
      </c>
      <c r="T4" s="99">
        <v>1</v>
      </c>
      <c r="U4" s="99">
        <f t="shared" si="0"/>
        <v>12</v>
      </c>
      <c r="V4" s="80" t="e">
        <f>VLOOKUP(C4,#REF!,3,0)</f>
        <v>#REF!</v>
      </c>
      <c r="W4" s="80">
        <f>VLOOKUP(D4,[1]Sheet3!$F:$AM,34,0)</f>
        <v>24</v>
      </c>
      <c r="Y4" s="80">
        <f>VLOOKUP(D4,[1]Sheet3!$F:$AN,35,0)</f>
        <v>0</v>
      </c>
      <c r="Z4" s="80" t="e">
        <f t="shared" si="1"/>
        <v>#REF!</v>
      </c>
    </row>
    <row r="5" spans="1:26">
      <c r="A5" s="99">
        <v>4</v>
      </c>
      <c r="B5" s="99" t="s">
        <v>250</v>
      </c>
      <c r="C5" s="96">
        <v>102090872186</v>
      </c>
      <c r="D5" s="99" t="s">
        <v>165</v>
      </c>
      <c r="E5" s="99" t="s">
        <v>378</v>
      </c>
      <c r="F5" s="99">
        <v>1</v>
      </c>
      <c r="G5" s="99">
        <v>1</v>
      </c>
      <c r="H5" s="99">
        <v>1</v>
      </c>
      <c r="I5" s="99">
        <v>1</v>
      </c>
      <c r="J5" s="99">
        <v>1</v>
      </c>
      <c r="K5" s="99">
        <v>1</v>
      </c>
      <c r="L5" s="99">
        <v>1</v>
      </c>
      <c r="M5" s="99">
        <v>1</v>
      </c>
      <c r="N5" s="99"/>
      <c r="O5" s="99">
        <v>1</v>
      </c>
      <c r="P5" s="99">
        <v>1</v>
      </c>
      <c r="Q5" s="99">
        <v>1</v>
      </c>
      <c r="R5" s="99">
        <v>1</v>
      </c>
      <c r="S5" s="99">
        <v>1</v>
      </c>
      <c r="T5" s="99">
        <v>1</v>
      </c>
      <c r="U5" s="99">
        <f t="shared" si="0"/>
        <v>14</v>
      </c>
      <c r="V5" s="80" t="e">
        <f>VLOOKUP(C5,#REF!,3,0)</f>
        <v>#REF!</v>
      </c>
      <c r="W5" s="80">
        <f>VLOOKUP(D5,[1]Sheet3!$F:$AM,34,0)</f>
        <v>28</v>
      </c>
      <c r="Y5" s="80">
        <f>VLOOKUP(D5,[1]Sheet3!$F:$AN,35,0)</f>
        <v>500</v>
      </c>
      <c r="Z5" s="80" t="e">
        <f t="shared" si="1"/>
        <v>#REF!</v>
      </c>
    </row>
    <row r="6" spans="1:26">
      <c r="A6" s="99">
        <v>5</v>
      </c>
      <c r="B6" s="99" t="s">
        <v>258</v>
      </c>
      <c r="C6" s="96">
        <v>101960331774</v>
      </c>
      <c r="D6" s="99" t="s">
        <v>302</v>
      </c>
      <c r="E6" s="99" t="s">
        <v>378</v>
      </c>
      <c r="F6" s="99"/>
      <c r="G6" s="99">
        <v>1</v>
      </c>
      <c r="H6" s="99">
        <v>1</v>
      </c>
      <c r="I6" s="99">
        <v>1</v>
      </c>
      <c r="J6" s="99">
        <v>1</v>
      </c>
      <c r="K6" s="99"/>
      <c r="L6" s="99">
        <v>1</v>
      </c>
      <c r="M6" s="99">
        <v>1</v>
      </c>
      <c r="N6" s="99">
        <v>1</v>
      </c>
      <c r="O6" s="99">
        <v>1</v>
      </c>
      <c r="P6" s="99">
        <v>1</v>
      </c>
      <c r="Q6" s="99">
        <v>1</v>
      </c>
      <c r="R6" s="99"/>
      <c r="S6" s="99">
        <v>1</v>
      </c>
      <c r="T6" s="99">
        <v>1</v>
      </c>
      <c r="U6" s="99">
        <f t="shared" si="0"/>
        <v>12</v>
      </c>
      <c r="V6" s="80" t="e">
        <f>VLOOKUP(C6,#REF!,3,0)</f>
        <v>#REF!</v>
      </c>
      <c r="W6" s="80">
        <f>VLOOKUP(D6,[1]Sheet3!$F:$AM,34,0)</f>
        <v>27</v>
      </c>
      <c r="Y6" s="80">
        <f>VLOOKUP(D6,[1]Sheet3!$F:$AN,35,0)</f>
        <v>500</v>
      </c>
      <c r="Z6" s="80" t="e">
        <f t="shared" si="1"/>
        <v>#REF!</v>
      </c>
    </row>
    <row r="7" spans="1:26">
      <c r="A7" s="99">
        <v>6</v>
      </c>
      <c r="B7" s="99" t="s">
        <v>380</v>
      </c>
      <c r="C7" s="96">
        <v>102267132379</v>
      </c>
      <c r="D7" s="99" t="s">
        <v>394</v>
      </c>
      <c r="E7" s="99" t="s">
        <v>378</v>
      </c>
      <c r="F7" s="99"/>
      <c r="G7" s="99">
        <v>1</v>
      </c>
      <c r="H7" s="99">
        <v>1</v>
      </c>
      <c r="I7" s="99">
        <v>1</v>
      </c>
      <c r="J7" s="99">
        <v>1</v>
      </c>
      <c r="K7" s="99"/>
      <c r="L7" s="99">
        <v>1</v>
      </c>
      <c r="M7" s="99"/>
      <c r="N7" s="99">
        <v>1</v>
      </c>
      <c r="O7" s="99">
        <v>1</v>
      </c>
      <c r="P7" s="99">
        <v>1</v>
      </c>
      <c r="Q7" s="99">
        <v>1</v>
      </c>
      <c r="R7" s="99"/>
      <c r="S7" s="99">
        <v>1</v>
      </c>
      <c r="T7" s="99">
        <v>1</v>
      </c>
      <c r="U7" s="99">
        <f t="shared" si="0"/>
        <v>11</v>
      </c>
      <c r="V7" s="80" t="e">
        <f>VLOOKUP(C7,#REF!,3,0)</f>
        <v>#REF!</v>
      </c>
      <c r="W7" s="80">
        <f>VLOOKUP(D7,[1]Sheet3!$F:$AM,34,0)</f>
        <v>22</v>
      </c>
      <c r="Y7" s="80">
        <f>VLOOKUP(D7,[1]Sheet3!$F:$AN,35,0)</f>
        <v>0</v>
      </c>
      <c r="Z7" s="80" t="e">
        <f t="shared" si="1"/>
        <v>#REF!</v>
      </c>
    </row>
    <row r="8" spans="1:26">
      <c r="A8" s="99">
        <v>7</v>
      </c>
      <c r="B8" s="99"/>
      <c r="C8" s="96">
        <v>101281737627</v>
      </c>
      <c r="D8" s="99" t="s">
        <v>303</v>
      </c>
      <c r="E8" s="99" t="s">
        <v>378</v>
      </c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>
        <f t="shared" si="0"/>
        <v>0</v>
      </c>
      <c r="V8" s="80" t="e">
        <f>VLOOKUP(C8,#REF!,3,0)</f>
        <v>#REF!</v>
      </c>
      <c r="W8" s="80">
        <f>VLOOKUP(D8,[1]Sheet3!$F:$AM,34,0)</f>
        <v>0</v>
      </c>
      <c r="Y8" s="80">
        <f>VLOOKUP(D8,[1]Sheet3!$F:$AN,35,0)</f>
        <v>0</v>
      </c>
      <c r="Z8" s="80" t="e">
        <f t="shared" si="1"/>
        <v>#REF!</v>
      </c>
    </row>
    <row r="9" spans="1:26">
      <c r="A9" s="99">
        <v>8</v>
      </c>
      <c r="B9" s="99"/>
      <c r="C9" s="91" t="s">
        <v>398</v>
      </c>
      <c r="D9" s="99" t="s">
        <v>398</v>
      </c>
      <c r="E9" s="99" t="s">
        <v>378</v>
      </c>
      <c r="F9" s="99"/>
      <c r="G9" s="99">
        <v>1</v>
      </c>
      <c r="H9" s="99">
        <v>1</v>
      </c>
      <c r="I9" s="99">
        <v>1</v>
      </c>
      <c r="J9" s="99">
        <v>1</v>
      </c>
      <c r="K9" s="99"/>
      <c r="L9" s="99">
        <v>1</v>
      </c>
      <c r="M9" s="99">
        <v>1</v>
      </c>
      <c r="N9" s="99">
        <v>1</v>
      </c>
      <c r="O9" s="99">
        <v>1</v>
      </c>
      <c r="P9" s="99">
        <v>1</v>
      </c>
      <c r="Q9" s="99">
        <v>1</v>
      </c>
      <c r="R9" s="99"/>
      <c r="S9" s="99">
        <v>1</v>
      </c>
      <c r="T9" s="99">
        <v>1</v>
      </c>
      <c r="U9" s="99">
        <f t="shared" si="0"/>
        <v>12</v>
      </c>
      <c r="V9" s="80" t="e">
        <f>VLOOKUP(C9,#REF!,3,0)</f>
        <v>#REF!</v>
      </c>
      <c r="W9" s="80">
        <f>VLOOKUP(D9,[1]Sheet3!$F:$AM,34,0)</f>
        <v>25</v>
      </c>
      <c r="Y9" s="80">
        <f>VLOOKUP(D9,[1]Sheet3!$F:$AN,35,0)</f>
        <v>500</v>
      </c>
      <c r="Z9" s="80" t="e">
        <f t="shared" si="1"/>
        <v>#REF!</v>
      </c>
    </row>
    <row r="10" spans="1:26">
      <c r="A10" s="99">
        <v>9</v>
      </c>
      <c r="B10" s="99"/>
      <c r="C10" s="91" t="s">
        <v>418</v>
      </c>
      <c r="D10" s="99" t="s">
        <v>418</v>
      </c>
      <c r="E10" s="99" t="s">
        <v>378</v>
      </c>
      <c r="F10" s="99">
        <v>1</v>
      </c>
      <c r="G10" s="99"/>
      <c r="H10" s="99"/>
      <c r="I10" s="99">
        <v>1</v>
      </c>
      <c r="J10" s="99">
        <v>1</v>
      </c>
      <c r="K10" s="99"/>
      <c r="L10" s="99">
        <v>1</v>
      </c>
      <c r="M10" s="99">
        <v>1</v>
      </c>
      <c r="N10" s="99">
        <v>1</v>
      </c>
      <c r="O10" s="99">
        <v>1</v>
      </c>
      <c r="P10" s="99">
        <v>1</v>
      </c>
      <c r="Q10" s="99">
        <v>1</v>
      </c>
      <c r="R10" s="99"/>
      <c r="S10" s="99">
        <v>1</v>
      </c>
      <c r="T10" s="99">
        <v>1</v>
      </c>
      <c r="U10" s="99">
        <f t="shared" si="0"/>
        <v>11</v>
      </c>
      <c r="V10" s="80" t="e">
        <f>VLOOKUP(C10,#REF!,3,0)</f>
        <v>#REF!</v>
      </c>
      <c r="W10" s="80">
        <f>VLOOKUP(D10,[1]Sheet3!$F:$AM,34,0)</f>
        <v>27</v>
      </c>
      <c r="Y10" s="80">
        <f>VLOOKUP(D10,[1]Sheet3!$F:$AN,35,0)</f>
        <v>1000</v>
      </c>
      <c r="Z10" s="80" t="e">
        <f t="shared" si="1"/>
        <v>#REF!</v>
      </c>
    </row>
    <row r="11" spans="1:26">
      <c r="A11" s="99">
        <v>10</v>
      </c>
      <c r="B11" s="99" t="s">
        <v>257</v>
      </c>
      <c r="C11" s="96">
        <v>101623086404</v>
      </c>
      <c r="D11" s="99" t="s">
        <v>296</v>
      </c>
      <c r="E11" s="99" t="s">
        <v>378</v>
      </c>
      <c r="F11" s="99"/>
      <c r="G11" s="99">
        <v>1</v>
      </c>
      <c r="H11" s="99">
        <v>1</v>
      </c>
      <c r="I11" s="99">
        <v>1</v>
      </c>
      <c r="J11" s="99">
        <v>1</v>
      </c>
      <c r="K11" s="99"/>
      <c r="L11" s="99">
        <v>1</v>
      </c>
      <c r="M11" s="99">
        <v>1</v>
      </c>
      <c r="N11" s="99">
        <v>1</v>
      </c>
      <c r="O11" s="99">
        <v>1</v>
      </c>
      <c r="P11" s="99">
        <v>1</v>
      </c>
      <c r="Q11" s="99">
        <v>1</v>
      </c>
      <c r="R11" s="99"/>
      <c r="S11" s="99">
        <v>1</v>
      </c>
      <c r="T11" s="99">
        <v>1</v>
      </c>
      <c r="U11" s="99">
        <f t="shared" si="0"/>
        <v>12</v>
      </c>
      <c r="V11" s="80" t="e">
        <f>VLOOKUP(C11,#REF!,3,0)</f>
        <v>#REF!</v>
      </c>
      <c r="W11" s="80">
        <f>VLOOKUP(D11,[1]Sheet3!$F:$AM,34,0)</f>
        <v>25.5</v>
      </c>
      <c r="Y11" s="80">
        <f>VLOOKUP(D11,[1]Sheet3!$F:$AN,35,0)</f>
        <v>1000</v>
      </c>
      <c r="Z11" s="80" t="e">
        <f t="shared" si="1"/>
        <v>#REF!</v>
      </c>
    </row>
    <row r="12" spans="1:26">
      <c r="A12" s="99">
        <v>11</v>
      </c>
      <c r="B12" s="99" t="s">
        <v>285</v>
      </c>
      <c r="C12" s="96">
        <v>102028098436</v>
      </c>
      <c r="D12" s="99" t="s">
        <v>297</v>
      </c>
      <c r="E12" s="99" t="s">
        <v>378</v>
      </c>
      <c r="F12" s="99">
        <v>1</v>
      </c>
      <c r="G12" s="99">
        <v>1</v>
      </c>
      <c r="H12" s="99">
        <v>1</v>
      </c>
      <c r="I12" s="99">
        <v>1</v>
      </c>
      <c r="J12" s="99">
        <v>1</v>
      </c>
      <c r="K12" s="99">
        <v>1</v>
      </c>
      <c r="L12" s="99">
        <v>1</v>
      </c>
      <c r="M12" s="99">
        <v>1</v>
      </c>
      <c r="N12" s="99">
        <v>1</v>
      </c>
      <c r="O12" s="99">
        <v>1</v>
      </c>
      <c r="P12" s="99">
        <v>2</v>
      </c>
      <c r="Q12" s="99">
        <v>1</v>
      </c>
      <c r="R12" s="99"/>
      <c r="S12" s="99">
        <v>1</v>
      </c>
      <c r="T12" s="99">
        <v>1</v>
      </c>
      <c r="U12" s="99">
        <f t="shared" si="0"/>
        <v>15</v>
      </c>
      <c r="V12" s="80" t="e">
        <f>VLOOKUP(C12,#REF!,3,0)</f>
        <v>#REF!</v>
      </c>
      <c r="W12" s="80">
        <f>VLOOKUP(D12,[1]Sheet3!$F:$AM,34,0)</f>
        <v>28</v>
      </c>
      <c r="Y12" s="80">
        <f>VLOOKUP(D12,[1]Sheet3!$F:$AN,35,0)</f>
        <v>500</v>
      </c>
      <c r="Z12" s="80" t="e">
        <f t="shared" si="1"/>
        <v>#REF!</v>
      </c>
    </row>
    <row r="13" spans="1:26">
      <c r="A13" s="99">
        <v>12</v>
      </c>
      <c r="B13" s="99" t="s">
        <v>271</v>
      </c>
      <c r="C13" s="96">
        <v>101951607402</v>
      </c>
      <c r="D13" s="99" t="s">
        <v>319</v>
      </c>
      <c r="E13" s="99" t="s">
        <v>378</v>
      </c>
      <c r="F13" s="99">
        <v>1</v>
      </c>
      <c r="G13" s="99">
        <v>1</v>
      </c>
      <c r="H13" s="99">
        <v>1</v>
      </c>
      <c r="I13" s="99">
        <v>1</v>
      </c>
      <c r="J13" s="99">
        <v>1</v>
      </c>
      <c r="K13" s="99">
        <v>1</v>
      </c>
      <c r="L13" s="99">
        <v>1</v>
      </c>
      <c r="M13" s="99">
        <v>1</v>
      </c>
      <c r="N13" s="99">
        <v>1</v>
      </c>
      <c r="O13" s="99">
        <v>1</v>
      </c>
      <c r="P13" s="99">
        <v>1</v>
      </c>
      <c r="Q13" s="99">
        <v>1</v>
      </c>
      <c r="R13" s="99">
        <v>1</v>
      </c>
      <c r="S13" s="99">
        <v>1</v>
      </c>
      <c r="T13" s="99">
        <v>1</v>
      </c>
      <c r="U13" s="99">
        <f t="shared" si="0"/>
        <v>15</v>
      </c>
      <c r="V13" s="80" t="e">
        <f>VLOOKUP(C13,#REF!,3,0)</f>
        <v>#REF!</v>
      </c>
      <c r="W13" s="80">
        <f>VLOOKUP(D13,[1]Sheet3!$F:$AM,34,0)</f>
        <v>31</v>
      </c>
      <c r="Y13" s="80">
        <f>VLOOKUP(D13,[1]Sheet3!$F:$AN,35,0)</f>
        <v>2500</v>
      </c>
      <c r="Z13" s="80" t="e">
        <f t="shared" si="1"/>
        <v>#REF!</v>
      </c>
    </row>
    <row r="14" spans="1:26" ht="13.8">
      <c r="A14" s="99">
        <v>13</v>
      </c>
      <c r="B14" s="99"/>
      <c r="C14" s="127">
        <v>101969547233</v>
      </c>
      <c r="D14" s="99" t="s">
        <v>122</v>
      </c>
      <c r="E14" s="99" t="s">
        <v>378</v>
      </c>
      <c r="F14" s="99"/>
      <c r="G14" s="99">
        <v>1</v>
      </c>
      <c r="H14" s="99">
        <v>1</v>
      </c>
      <c r="I14" s="99">
        <v>1</v>
      </c>
      <c r="J14" s="99">
        <v>1</v>
      </c>
      <c r="K14" s="99"/>
      <c r="L14" s="99">
        <v>1</v>
      </c>
      <c r="M14" s="99"/>
      <c r="N14" s="99">
        <v>1</v>
      </c>
      <c r="O14" s="99">
        <v>1</v>
      </c>
      <c r="P14" s="99">
        <v>1</v>
      </c>
      <c r="Q14" s="99">
        <v>1</v>
      </c>
      <c r="R14" s="99"/>
      <c r="S14" s="99">
        <v>1</v>
      </c>
      <c r="T14" s="99"/>
      <c r="U14" s="99">
        <f t="shared" si="0"/>
        <v>10</v>
      </c>
      <c r="V14" s="80" t="e">
        <f>VLOOKUP(C14,#REF!,3,0)</f>
        <v>#REF!</v>
      </c>
      <c r="W14" s="80">
        <f>VLOOKUP(D14,[1]Sheet3!$F:$AM,34,0)</f>
        <v>22</v>
      </c>
      <c r="Y14" s="80">
        <f>VLOOKUP(D14,[1]Sheet3!$F:$AN,35,0)</f>
        <v>0</v>
      </c>
      <c r="Z14" s="80" t="e">
        <f t="shared" si="1"/>
        <v>#REF!</v>
      </c>
    </row>
    <row r="15" spans="1:26">
      <c r="A15" s="99">
        <v>14</v>
      </c>
      <c r="B15" s="99" t="s">
        <v>287</v>
      </c>
      <c r="C15" s="96">
        <v>102043325356</v>
      </c>
      <c r="D15" s="99" t="s">
        <v>155</v>
      </c>
      <c r="E15" s="99" t="s">
        <v>378</v>
      </c>
      <c r="F15" s="99"/>
      <c r="G15" s="99">
        <v>1</v>
      </c>
      <c r="H15" s="99"/>
      <c r="I15" s="99">
        <v>1</v>
      </c>
      <c r="J15" s="99"/>
      <c r="K15" s="99"/>
      <c r="L15" s="99">
        <v>1</v>
      </c>
      <c r="M15" s="99">
        <v>1</v>
      </c>
      <c r="N15" s="99"/>
      <c r="O15" s="99">
        <v>1</v>
      </c>
      <c r="P15" s="99"/>
      <c r="Q15" s="99">
        <v>1</v>
      </c>
      <c r="R15" s="99"/>
      <c r="S15" s="99">
        <v>1</v>
      </c>
      <c r="T15" s="99"/>
      <c r="U15" s="99">
        <f t="shared" si="0"/>
        <v>7</v>
      </c>
      <c r="V15" s="80" t="e">
        <f>VLOOKUP(C15,#REF!,3,0)</f>
        <v>#REF!</v>
      </c>
      <c r="W15" s="80">
        <f>VLOOKUP(D15,[1]Sheet3!$F:$AM,34,0)</f>
        <v>14</v>
      </c>
      <c r="Y15" s="80">
        <f>VLOOKUP(D15,[1]Sheet3!$F:$AN,35,0)</f>
        <v>0</v>
      </c>
      <c r="Z15" s="80" t="e">
        <f t="shared" si="1"/>
        <v>#REF!</v>
      </c>
    </row>
    <row r="16" spans="1:26">
      <c r="A16" s="99">
        <v>15</v>
      </c>
      <c r="C16" s="128">
        <v>101958132802</v>
      </c>
      <c r="D16" s="99" t="s">
        <v>352</v>
      </c>
      <c r="E16" s="99" t="s">
        <v>378</v>
      </c>
      <c r="F16" s="99">
        <v>1</v>
      </c>
      <c r="G16" s="99">
        <v>1</v>
      </c>
      <c r="H16" s="99">
        <v>1</v>
      </c>
      <c r="I16" s="99">
        <v>1</v>
      </c>
      <c r="J16" s="99">
        <v>1</v>
      </c>
      <c r="K16" s="99"/>
      <c r="L16" s="99">
        <v>1</v>
      </c>
      <c r="M16" s="99"/>
      <c r="N16" s="99">
        <v>1</v>
      </c>
      <c r="O16" s="99"/>
      <c r="P16" s="99"/>
      <c r="Q16" s="99">
        <v>1</v>
      </c>
      <c r="R16" s="99"/>
      <c r="S16" s="99">
        <v>1</v>
      </c>
      <c r="T16" s="99"/>
      <c r="U16" s="99">
        <f t="shared" si="0"/>
        <v>9</v>
      </c>
      <c r="V16" s="80" t="e">
        <f>VLOOKUP(C16,#REF!,3,0)</f>
        <v>#REF!</v>
      </c>
      <c r="W16" s="80">
        <f>VLOOKUP(D16,[1]Sheet3!$F:$AM,34,0)</f>
        <v>20</v>
      </c>
      <c r="Y16" s="80">
        <f>VLOOKUP(D16,[1]Sheet3!$F:$AN,35,0)</f>
        <v>0</v>
      </c>
      <c r="Z16" s="80" t="e">
        <f t="shared" si="1"/>
        <v>#REF!</v>
      </c>
    </row>
    <row r="17" spans="1:26">
      <c r="A17" s="99">
        <v>15</v>
      </c>
      <c r="B17" s="99"/>
      <c r="C17" s="96" t="s">
        <v>427</v>
      </c>
      <c r="D17" s="99" t="s">
        <v>427</v>
      </c>
      <c r="E17" s="99" t="s">
        <v>378</v>
      </c>
      <c r="F17" s="99"/>
      <c r="G17" s="99">
        <v>1</v>
      </c>
      <c r="H17" s="99">
        <v>1</v>
      </c>
      <c r="I17" s="99"/>
      <c r="J17" s="99">
        <v>2</v>
      </c>
      <c r="K17" s="99">
        <v>1</v>
      </c>
      <c r="L17" s="99">
        <v>1</v>
      </c>
      <c r="M17" s="99">
        <v>2</v>
      </c>
      <c r="N17" s="99"/>
      <c r="O17" s="99">
        <v>1</v>
      </c>
      <c r="P17" s="99">
        <v>2</v>
      </c>
      <c r="Q17" s="99"/>
      <c r="R17" s="99"/>
      <c r="S17" s="99"/>
      <c r="T17" s="99"/>
      <c r="U17" s="99">
        <f t="shared" si="0"/>
        <v>11</v>
      </c>
      <c r="V17" s="80" t="e">
        <f>VLOOKUP(C17,#REF!,3,0)</f>
        <v>#REF!</v>
      </c>
      <c r="W17" s="80">
        <f>VLOOKUP(D17,[1]Sheet3!$F:$AM,34,0)</f>
        <v>17</v>
      </c>
      <c r="Y17" s="80">
        <f>VLOOKUP(D17,[1]Sheet3!$F:$AN,35,0)</f>
        <v>0</v>
      </c>
      <c r="Z17" s="80" t="e">
        <f t="shared" si="1"/>
        <v>#REF!</v>
      </c>
    </row>
    <row r="18" spans="1:26">
      <c r="A18" s="99">
        <v>16</v>
      </c>
      <c r="B18" s="99"/>
      <c r="C18" s="128">
        <v>101216844424</v>
      </c>
      <c r="D18" s="99" t="s">
        <v>359</v>
      </c>
      <c r="E18" s="99" t="s">
        <v>378</v>
      </c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>
        <f t="shared" si="0"/>
        <v>0</v>
      </c>
      <c r="V18" s="80" t="e">
        <f>VLOOKUP(C18,#REF!,3,0)</f>
        <v>#REF!</v>
      </c>
      <c r="W18" s="80">
        <f>VLOOKUP(D18,[1]Sheet3!$F:$AM,34,0)</f>
        <v>0</v>
      </c>
      <c r="Y18" s="80">
        <f>VLOOKUP(D18,[1]Sheet3!$F:$AN,35,0)</f>
        <v>0</v>
      </c>
      <c r="Z18" s="80" t="e">
        <f t="shared" si="1"/>
        <v>#REF!</v>
      </c>
    </row>
    <row r="19" spans="1:26">
      <c r="A19" s="99">
        <v>17</v>
      </c>
      <c r="B19" s="99"/>
      <c r="C19" s="96">
        <v>102192447029</v>
      </c>
      <c r="D19" s="99" t="s">
        <v>383</v>
      </c>
      <c r="E19" s="99" t="s">
        <v>378</v>
      </c>
      <c r="F19" s="99"/>
      <c r="G19" s="99">
        <v>1</v>
      </c>
      <c r="H19" s="99">
        <v>1</v>
      </c>
      <c r="I19" s="99">
        <v>1</v>
      </c>
      <c r="J19" s="99">
        <v>1</v>
      </c>
      <c r="K19" s="99">
        <v>1</v>
      </c>
      <c r="L19" s="99">
        <v>1</v>
      </c>
      <c r="M19" s="99">
        <v>1</v>
      </c>
      <c r="N19" s="99">
        <v>1</v>
      </c>
      <c r="O19" s="99">
        <v>1</v>
      </c>
      <c r="P19" s="99">
        <v>1</v>
      </c>
      <c r="Q19" s="99">
        <v>1</v>
      </c>
      <c r="R19" s="99">
        <v>1</v>
      </c>
      <c r="S19" s="99"/>
      <c r="T19" s="99"/>
      <c r="U19" s="99">
        <f t="shared" si="0"/>
        <v>12</v>
      </c>
      <c r="V19" s="80" t="e">
        <f>VLOOKUP(C19,#REF!,3,0)</f>
        <v>#REF!</v>
      </c>
      <c r="W19" s="80">
        <f>VLOOKUP(D19,[1]Sheet3!$F:$AM,34,0)</f>
        <v>28</v>
      </c>
      <c r="Y19" s="80">
        <f>VLOOKUP(D19,[1]Sheet3!$F:$AN,35,0)</f>
        <v>500</v>
      </c>
      <c r="Z19" s="80" t="e">
        <f t="shared" si="1"/>
        <v>#REF!</v>
      </c>
    </row>
    <row r="20" spans="1:26">
      <c r="A20" s="99">
        <v>18</v>
      </c>
      <c r="B20" s="99" t="s">
        <v>288</v>
      </c>
      <c r="C20" s="96">
        <v>102043325341</v>
      </c>
      <c r="D20" s="99" t="s">
        <v>298</v>
      </c>
      <c r="E20" s="99" t="s">
        <v>378</v>
      </c>
      <c r="F20" s="99">
        <v>1</v>
      </c>
      <c r="G20" s="99">
        <v>1</v>
      </c>
      <c r="H20" s="99"/>
      <c r="I20" s="99">
        <v>1</v>
      </c>
      <c r="J20" s="99">
        <v>1</v>
      </c>
      <c r="K20" s="99"/>
      <c r="L20" s="99">
        <v>1</v>
      </c>
      <c r="M20" s="99">
        <v>1</v>
      </c>
      <c r="N20" s="99">
        <v>1</v>
      </c>
      <c r="O20" s="99">
        <v>1</v>
      </c>
      <c r="P20" s="99">
        <v>1</v>
      </c>
      <c r="Q20" s="99"/>
      <c r="R20" s="99">
        <v>1</v>
      </c>
      <c r="S20" s="99">
        <v>1</v>
      </c>
      <c r="T20" s="99">
        <v>1</v>
      </c>
      <c r="U20" s="99">
        <f t="shared" si="0"/>
        <v>12</v>
      </c>
      <c r="V20" s="80" t="e">
        <f>VLOOKUP(C20,#REF!,3,0)</f>
        <v>#REF!</v>
      </c>
      <c r="W20" s="80">
        <f>VLOOKUP(D20,[1]Sheet3!$F:$AM,34,0)</f>
        <v>27</v>
      </c>
      <c r="Y20" s="80">
        <f>VLOOKUP(D20,[1]Sheet3!$F:$AN,35,0)</f>
        <v>500</v>
      </c>
      <c r="Z20" s="80" t="e">
        <f t="shared" si="1"/>
        <v>#REF!</v>
      </c>
    </row>
    <row r="21" spans="1:26">
      <c r="A21" s="99">
        <v>19</v>
      </c>
      <c r="B21" s="99" t="s">
        <v>274</v>
      </c>
      <c r="C21" s="96">
        <v>100590315745</v>
      </c>
      <c r="D21" s="99" t="s">
        <v>299</v>
      </c>
      <c r="E21" s="99" t="s">
        <v>378</v>
      </c>
      <c r="F21" s="99"/>
      <c r="G21" s="99">
        <v>1</v>
      </c>
      <c r="H21" s="99">
        <v>1</v>
      </c>
      <c r="I21" s="99">
        <v>1</v>
      </c>
      <c r="J21" s="99"/>
      <c r="K21" s="99"/>
      <c r="L21" s="99">
        <v>1</v>
      </c>
      <c r="M21" s="99">
        <v>1</v>
      </c>
      <c r="N21" s="99">
        <v>1</v>
      </c>
      <c r="O21" s="99">
        <v>1</v>
      </c>
      <c r="P21" s="99">
        <v>1</v>
      </c>
      <c r="Q21" s="99">
        <v>1</v>
      </c>
      <c r="R21" s="99"/>
      <c r="S21" s="99"/>
      <c r="T21" s="99">
        <v>1</v>
      </c>
      <c r="U21" s="99">
        <f t="shared" si="0"/>
        <v>10</v>
      </c>
      <c r="V21" s="80" t="e">
        <f>VLOOKUP(C21,#REF!,3,0)</f>
        <v>#REF!</v>
      </c>
      <c r="W21" s="80">
        <f>VLOOKUP(D21,[1]Sheet3!$F:$AM,34,0)</f>
        <v>23</v>
      </c>
      <c r="Y21" s="80">
        <f>VLOOKUP(D21,[1]Sheet3!$F:$AN,35,0)</f>
        <v>0</v>
      </c>
      <c r="Z21" s="80" t="e">
        <f t="shared" si="1"/>
        <v>#REF!</v>
      </c>
    </row>
    <row r="22" spans="1:26">
      <c r="A22" s="99">
        <v>20</v>
      </c>
      <c r="B22" s="99" t="s">
        <v>242</v>
      </c>
      <c r="C22" s="96">
        <v>101475240602</v>
      </c>
      <c r="D22" s="99" t="s">
        <v>304</v>
      </c>
      <c r="E22" s="99" t="s">
        <v>368</v>
      </c>
      <c r="F22" s="99"/>
      <c r="G22" s="99">
        <v>1</v>
      </c>
      <c r="H22" s="99">
        <v>1</v>
      </c>
      <c r="I22" s="99">
        <v>1</v>
      </c>
      <c r="J22" s="99">
        <v>1</v>
      </c>
      <c r="K22" s="99"/>
      <c r="L22" s="99">
        <v>1</v>
      </c>
      <c r="M22" s="99">
        <v>1</v>
      </c>
      <c r="N22" s="99"/>
      <c r="O22" s="99">
        <v>1</v>
      </c>
      <c r="P22" s="99">
        <v>1</v>
      </c>
      <c r="Q22" s="99">
        <v>1</v>
      </c>
      <c r="R22" s="99"/>
      <c r="S22" s="99">
        <v>1</v>
      </c>
      <c r="T22" s="99">
        <v>1</v>
      </c>
      <c r="U22" s="99">
        <f t="shared" si="0"/>
        <v>11</v>
      </c>
      <c r="V22" s="80" t="e">
        <f>VLOOKUP(C22,#REF!,3,0)</f>
        <v>#REF!</v>
      </c>
      <c r="W22" s="80">
        <f>VLOOKUP(D22,[1]Sheet3!$F:$AM,34,0)</f>
        <v>24</v>
      </c>
      <c r="Y22" s="80">
        <f>VLOOKUP(D22,[1]Sheet3!$F:$AN,35,0)</f>
        <v>0</v>
      </c>
      <c r="Z22" s="80" t="e">
        <f t="shared" si="1"/>
        <v>#REF!</v>
      </c>
    </row>
    <row r="23" spans="1:26">
      <c r="A23" s="99">
        <v>21</v>
      </c>
      <c r="B23" s="99" t="s">
        <v>248</v>
      </c>
      <c r="C23" s="96">
        <v>101492178974</v>
      </c>
      <c r="D23" s="99" t="s">
        <v>305</v>
      </c>
      <c r="E23" s="99" t="s">
        <v>368</v>
      </c>
      <c r="F23" s="99"/>
      <c r="G23" s="99">
        <v>1</v>
      </c>
      <c r="H23" s="99">
        <v>1</v>
      </c>
      <c r="I23" s="99">
        <v>1</v>
      </c>
      <c r="J23" s="99">
        <v>1</v>
      </c>
      <c r="K23" s="99"/>
      <c r="L23" s="99">
        <v>1</v>
      </c>
      <c r="M23" s="99">
        <v>1</v>
      </c>
      <c r="N23" s="99">
        <v>1</v>
      </c>
      <c r="O23" s="99">
        <v>1</v>
      </c>
      <c r="P23" s="99">
        <v>1</v>
      </c>
      <c r="Q23" s="99">
        <v>1</v>
      </c>
      <c r="R23" s="99"/>
      <c r="S23" s="99">
        <v>1</v>
      </c>
      <c r="T23" s="99">
        <v>1</v>
      </c>
      <c r="U23" s="99">
        <f t="shared" si="0"/>
        <v>12</v>
      </c>
      <c r="V23" s="80" t="e">
        <f>VLOOKUP(C23,#REF!,3,0)</f>
        <v>#REF!</v>
      </c>
      <c r="W23" s="80">
        <f>VLOOKUP(D23,[1]Sheet3!$F:$AM,34,0)</f>
        <v>30</v>
      </c>
      <c r="Y23" s="80">
        <f>VLOOKUP(D23,[1]Sheet3!$F:$AN,35,0)</f>
        <v>2500</v>
      </c>
      <c r="Z23" s="80" t="e">
        <f t="shared" si="1"/>
        <v>#REF!</v>
      </c>
    </row>
    <row r="24" spans="1:26">
      <c r="A24" s="99">
        <v>22</v>
      </c>
      <c r="B24" s="99" t="s">
        <v>290</v>
      </c>
      <c r="C24" s="96">
        <v>102052667942</v>
      </c>
      <c r="D24" s="99" t="s">
        <v>306</v>
      </c>
      <c r="E24" s="99" t="s">
        <v>368</v>
      </c>
      <c r="F24" s="99"/>
      <c r="G24" s="99">
        <v>1</v>
      </c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>
        <v>1</v>
      </c>
      <c r="T24" s="99">
        <v>1</v>
      </c>
      <c r="U24" s="99">
        <f t="shared" si="0"/>
        <v>3</v>
      </c>
      <c r="V24" s="80" t="e">
        <f>VLOOKUP(C24,#REF!,3,0)</f>
        <v>#REF!</v>
      </c>
      <c r="W24" s="80">
        <f>VLOOKUP(D24,[1]Sheet3!$F:$AM,34,0)</f>
        <v>15</v>
      </c>
      <c r="Y24" s="80">
        <f>VLOOKUP(D24,[1]Sheet3!$F:$AN,35,0)</f>
        <v>0</v>
      </c>
      <c r="Z24" s="80" t="e">
        <f t="shared" si="1"/>
        <v>#REF!</v>
      </c>
    </row>
    <row r="25" spans="1:26">
      <c r="A25" s="99">
        <v>23</v>
      </c>
      <c r="B25" s="99" t="s">
        <v>263</v>
      </c>
      <c r="C25" s="96">
        <v>101826609019</v>
      </c>
      <c r="D25" s="99" t="s">
        <v>307</v>
      </c>
      <c r="E25" s="99" t="s">
        <v>368</v>
      </c>
      <c r="F25" s="99"/>
      <c r="G25" s="99">
        <v>0.5</v>
      </c>
      <c r="H25" s="99">
        <v>1</v>
      </c>
      <c r="I25" s="99">
        <v>1</v>
      </c>
      <c r="J25" s="99">
        <v>1</v>
      </c>
      <c r="K25" s="99"/>
      <c r="L25" s="99"/>
      <c r="M25" s="99"/>
      <c r="N25" s="99">
        <v>1</v>
      </c>
      <c r="O25" s="99">
        <v>1</v>
      </c>
      <c r="P25" s="99">
        <v>1</v>
      </c>
      <c r="Q25" s="99">
        <v>1</v>
      </c>
      <c r="R25" s="99"/>
      <c r="S25" s="99">
        <v>1</v>
      </c>
      <c r="T25" s="99">
        <v>1</v>
      </c>
      <c r="U25" s="99">
        <f t="shared" si="0"/>
        <v>9.5</v>
      </c>
      <c r="V25" s="80" t="e">
        <f>VLOOKUP(C25,#REF!,3,0)</f>
        <v>#REF!</v>
      </c>
      <c r="W25" s="80">
        <f>VLOOKUP(D25,[1]Sheet3!$F:$AM,34,0)</f>
        <v>20.5</v>
      </c>
      <c r="Y25" s="80">
        <f>VLOOKUP(D25,[1]Sheet3!$F:$AN,35,0)</f>
        <v>0</v>
      </c>
      <c r="Z25" s="80" t="e">
        <f t="shared" si="1"/>
        <v>#REF!</v>
      </c>
    </row>
    <row r="26" spans="1:26">
      <c r="A26" s="99">
        <v>24</v>
      </c>
      <c r="B26" s="99" t="s">
        <v>284</v>
      </c>
      <c r="C26" s="96">
        <v>101944505682</v>
      </c>
      <c r="D26" s="99" t="s">
        <v>33</v>
      </c>
      <c r="E26" s="99" t="s">
        <v>368</v>
      </c>
      <c r="F26" s="99"/>
      <c r="G26" s="99">
        <v>1</v>
      </c>
      <c r="H26" s="99">
        <v>1</v>
      </c>
      <c r="I26" s="99">
        <v>1</v>
      </c>
      <c r="J26" s="99">
        <v>1</v>
      </c>
      <c r="K26" s="99"/>
      <c r="L26" s="99">
        <v>1</v>
      </c>
      <c r="M26" s="99"/>
      <c r="N26" s="99">
        <v>2</v>
      </c>
      <c r="O26" s="99">
        <v>1</v>
      </c>
      <c r="P26" s="99">
        <v>1</v>
      </c>
      <c r="Q26" s="99">
        <v>1</v>
      </c>
      <c r="R26" s="99"/>
      <c r="S26" s="99"/>
      <c r="T26" s="99">
        <v>1</v>
      </c>
      <c r="U26" s="99">
        <f t="shared" si="0"/>
        <v>11</v>
      </c>
      <c r="V26" s="80" t="e">
        <f>VLOOKUP(C26,#REF!,3,0)</f>
        <v>#REF!</v>
      </c>
      <c r="W26" s="80">
        <f>VLOOKUP(D26,[1]Sheet3!$F:$AM,34,0)</f>
        <v>23.5</v>
      </c>
      <c r="Y26" s="80">
        <f>VLOOKUP(D26,[1]Sheet3!$F:$AN,35,0)</f>
        <v>0</v>
      </c>
      <c r="Z26" s="80" t="e">
        <f t="shared" si="1"/>
        <v>#REF!</v>
      </c>
    </row>
    <row r="27" spans="1:26">
      <c r="A27" s="99">
        <v>25</v>
      </c>
      <c r="B27" s="99" t="s">
        <v>264</v>
      </c>
      <c r="C27" s="96">
        <v>101603294918</v>
      </c>
      <c r="D27" s="99" t="s">
        <v>127</v>
      </c>
      <c r="E27" s="99" t="s">
        <v>368</v>
      </c>
      <c r="F27" s="99"/>
      <c r="G27" s="99"/>
      <c r="H27" s="99"/>
      <c r="I27" s="99">
        <v>1</v>
      </c>
      <c r="J27" s="99">
        <v>1</v>
      </c>
      <c r="K27" s="99"/>
      <c r="L27" s="99">
        <v>1</v>
      </c>
      <c r="M27" s="99">
        <v>1</v>
      </c>
      <c r="N27" s="99">
        <v>1</v>
      </c>
      <c r="O27" s="99">
        <v>1</v>
      </c>
      <c r="P27" s="99">
        <v>1</v>
      </c>
      <c r="Q27" s="99">
        <v>1</v>
      </c>
      <c r="R27" s="99"/>
      <c r="S27" s="99">
        <v>1</v>
      </c>
      <c r="T27" s="99">
        <v>1</v>
      </c>
      <c r="U27" s="99">
        <f t="shared" si="0"/>
        <v>10</v>
      </c>
      <c r="V27" s="80" t="e">
        <f>VLOOKUP(C27,#REF!,3,0)</f>
        <v>#REF!</v>
      </c>
      <c r="W27" s="80">
        <f>VLOOKUP(D27,[1]Sheet3!$F:$AM,34,0)</f>
        <v>23</v>
      </c>
      <c r="Y27" s="80">
        <f>VLOOKUP(D27,[1]Sheet3!$F:$AN,35,0)</f>
        <v>0</v>
      </c>
      <c r="Z27" s="80" t="e">
        <f t="shared" si="1"/>
        <v>#REF!</v>
      </c>
    </row>
    <row r="28" spans="1:26">
      <c r="A28" s="99">
        <v>26</v>
      </c>
      <c r="B28" s="99" t="s">
        <v>262</v>
      </c>
      <c r="C28" s="96">
        <v>101818174092</v>
      </c>
      <c r="D28" s="99" t="s">
        <v>308</v>
      </c>
      <c r="E28" s="99" t="s">
        <v>368</v>
      </c>
      <c r="F28" s="99"/>
      <c r="G28" s="99">
        <v>1</v>
      </c>
      <c r="H28" s="99">
        <v>1</v>
      </c>
      <c r="I28" s="99">
        <v>1</v>
      </c>
      <c r="J28" s="99">
        <v>1</v>
      </c>
      <c r="K28" s="99"/>
      <c r="L28" s="99"/>
      <c r="M28" s="99">
        <v>1</v>
      </c>
      <c r="N28" s="99">
        <v>1</v>
      </c>
      <c r="O28" s="99">
        <v>1</v>
      </c>
      <c r="P28" s="99">
        <v>1</v>
      </c>
      <c r="Q28" s="99">
        <v>1</v>
      </c>
      <c r="R28" s="99"/>
      <c r="S28" s="99">
        <v>1</v>
      </c>
      <c r="T28" s="99">
        <v>1</v>
      </c>
      <c r="U28" s="99">
        <f t="shared" si="0"/>
        <v>11</v>
      </c>
      <c r="V28" s="80" t="e">
        <f>VLOOKUP(C28,#REF!,3,0)</f>
        <v>#REF!</v>
      </c>
      <c r="W28" s="80">
        <f>VLOOKUP(D28,[1]Sheet3!$F:$AM,34,0)</f>
        <v>24</v>
      </c>
      <c r="Y28" s="80">
        <f>VLOOKUP(D28,[1]Sheet3!$F:$AN,35,0)</f>
        <v>0</v>
      </c>
      <c r="Z28" s="80" t="e">
        <f t="shared" si="1"/>
        <v>#REF!</v>
      </c>
    </row>
    <row r="29" spans="1:26">
      <c r="A29" s="99">
        <v>27</v>
      </c>
      <c r="B29" s="99" t="s">
        <v>253</v>
      </c>
      <c r="C29" s="96">
        <v>102120964651</v>
      </c>
      <c r="D29" s="99" t="s">
        <v>164</v>
      </c>
      <c r="E29" s="99" t="s">
        <v>368</v>
      </c>
      <c r="F29" s="99"/>
      <c r="G29" s="99">
        <v>1</v>
      </c>
      <c r="H29" s="99">
        <v>1</v>
      </c>
      <c r="I29" s="99">
        <v>1</v>
      </c>
      <c r="J29" s="99">
        <v>1</v>
      </c>
      <c r="K29" s="99"/>
      <c r="L29" s="99">
        <v>1</v>
      </c>
      <c r="M29" s="99">
        <v>1</v>
      </c>
      <c r="N29" s="99">
        <v>1</v>
      </c>
      <c r="O29" s="99">
        <v>1</v>
      </c>
      <c r="P29" s="99">
        <v>1</v>
      </c>
      <c r="Q29" s="99">
        <v>1</v>
      </c>
      <c r="R29" s="99"/>
      <c r="S29" s="99">
        <v>1</v>
      </c>
      <c r="T29" s="99">
        <v>1</v>
      </c>
      <c r="U29" s="99">
        <f t="shared" si="0"/>
        <v>12</v>
      </c>
      <c r="V29" s="80" t="e">
        <f>VLOOKUP(C29,#REF!,3,0)</f>
        <v>#REF!</v>
      </c>
      <c r="W29" s="80">
        <f>VLOOKUP(D29,[1]Sheet3!$F:$AM,34,0)</f>
        <v>23</v>
      </c>
      <c r="Y29" s="80">
        <f>VLOOKUP(D29,[1]Sheet3!$F:$AN,35,0)</f>
        <v>0</v>
      </c>
      <c r="Z29" s="80" t="e">
        <f t="shared" si="1"/>
        <v>#REF!</v>
      </c>
    </row>
    <row r="30" spans="1:26">
      <c r="A30" s="99">
        <v>28</v>
      </c>
      <c r="B30" s="99" t="s">
        <v>280</v>
      </c>
      <c r="C30" s="96">
        <v>102004077854</v>
      </c>
      <c r="D30" s="99" t="s">
        <v>309</v>
      </c>
      <c r="E30" s="99" t="s">
        <v>368</v>
      </c>
      <c r="F30" s="99"/>
      <c r="G30" s="99">
        <v>1</v>
      </c>
      <c r="H30" s="99">
        <v>1</v>
      </c>
      <c r="I30" s="99">
        <v>1</v>
      </c>
      <c r="J30" s="99">
        <v>1</v>
      </c>
      <c r="K30" s="99"/>
      <c r="L30" s="99">
        <v>1</v>
      </c>
      <c r="M30" s="99">
        <v>1</v>
      </c>
      <c r="N30" s="99">
        <v>1</v>
      </c>
      <c r="O30" s="99">
        <v>2</v>
      </c>
      <c r="P30" s="99">
        <v>1</v>
      </c>
      <c r="Q30" s="99">
        <v>1</v>
      </c>
      <c r="R30" s="99"/>
      <c r="S30" s="99"/>
      <c r="T30" s="99">
        <v>1</v>
      </c>
      <c r="U30" s="99">
        <f t="shared" si="0"/>
        <v>12</v>
      </c>
      <c r="V30" s="80" t="e">
        <f>VLOOKUP(C30,#REF!,3,0)</f>
        <v>#REF!</v>
      </c>
      <c r="W30" s="80">
        <f>VLOOKUP(D30,[1]Sheet3!$F:$AM,34,0)</f>
        <v>22</v>
      </c>
      <c r="Y30" s="80">
        <f>VLOOKUP(D30,[1]Sheet3!$F:$AN,35,0)</f>
        <v>0</v>
      </c>
      <c r="Z30" s="80" t="e">
        <f t="shared" si="1"/>
        <v>#REF!</v>
      </c>
    </row>
    <row r="31" spans="1:26">
      <c r="A31" s="99">
        <v>29</v>
      </c>
      <c r="B31" s="99" t="s">
        <v>243</v>
      </c>
      <c r="C31" s="96">
        <v>101432431093</v>
      </c>
      <c r="D31" s="99" t="s">
        <v>163</v>
      </c>
      <c r="E31" s="99" t="s">
        <v>368</v>
      </c>
      <c r="F31" s="99"/>
      <c r="G31" s="99">
        <v>1</v>
      </c>
      <c r="H31" s="99">
        <v>1</v>
      </c>
      <c r="I31" s="99">
        <v>1</v>
      </c>
      <c r="J31" s="99">
        <v>1</v>
      </c>
      <c r="K31" s="99"/>
      <c r="L31" s="99">
        <v>1</v>
      </c>
      <c r="M31" s="99">
        <v>1</v>
      </c>
      <c r="N31" s="99">
        <v>1</v>
      </c>
      <c r="O31" s="99">
        <v>1</v>
      </c>
      <c r="P31" s="99">
        <v>1</v>
      </c>
      <c r="Q31" s="99">
        <v>1</v>
      </c>
      <c r="R31" s="99"/>
      <c r="S31" s="99">
        <v>1</v>
      </c>
      <c r="T31" s="99">
        <v>1</v>
      </c>
      <c r="U31" s="99">
        <f t="shared" si="0"/>
        <v>12</v>
      </c>
      <c r="V31" s="80" t="e">
        <f>VLOOKUP(C31,#REF!,3,0)</f>
        <v>#REF!</v>
      </c>
      <c r="W31" s="80">
        <f>VLOOKUP(D31,[1]Sheet3!$F:$AM,34,0)</f>
        <v>26</v>
      </c>
      <c r="Y31" s="80">
        <f>VLOOKUP(D31,[1]Sheet3!$F:$AN,35,0)</f>
        <v>1000</v>
      </c>
      <c r="Z31" s="80" t="e">
        <f t="shared" si="1"/>
        <v>#REF!</v>
      </c>
    </row>
    <row r="32" spans="1:26">
      <c r="A32" s="99">
        <v>30</v>
      </c>
      <c r="B32" s="99" t="s">
        <v>286</v>
      </c>
      <c r="C32" s="96">
        <v>101817173110</v>
      </c>
      <c r="D32" s="99" t="s">
        <v>53</v>
      </c>
      <c r="E32" s="99" t="s">
        <v>368</v>
      </c>
      <c r="F32" s="99"/>
      <c r="G32" s="99">
        <v>1</v>
      </c>
      <c r="H32" s="99">
        <v>2</v>
      </c>
      <c r="I32" s="99">
        <v>1</v>
      </c>
      <c r="J32" s="99">
        <v>1</v>
      </c>
      <c r="K32" s="99"/>
      <c r="L32" s="99">
        <v>1</v>
      </c>
      <c r="M32" s="99">
        <v>2</v>
      </c>
      <c r="N32" s="99">
        <v>1</v>
      </c>
      <c r="O32" s="99">
        <v>1</v>
      </c>
      <c r="P32" s="99">
        <v>1</v>
      </c>
      <c r="Q32" s="99"/>
      <c r="R32" s="99"/>
      <c r="S32" s="99">
        <v>1</v>
      </c>
      <c r="T32" s="99">
        <v>1</v>
      </c>
      <c r="U32" s="99">
        <f t="shared" si="0"/>
        <v>13</v>
      </c>
      <c r="V32" s="80" t="e">
        <f>VLOOKUP(C32,#REF!,3,0)</f>
        <v>#REF!</v>
      </c>
      <c r="W32" s="80">
        <f>VLOOKUP(D32,[1]Sheet3!$F:$AM,34,0)</f>
        <v>28</v>
      </c>
      <c r="Y32" s="80">
        <f>VLOOKUP(D32,[1]Sheet3!$F:$AN,35,0)</f>
        <v>1000</v>
      </c>
      <c r="Z32" s="80" t="e">
        <f t="shared" si="1"/>
        <v>#REF!</v>
      </c>
    </row>
    <row r="33" spans="1:26">
      <c r="A33" s="99">
        <v>31</v>
      </c>
      <c r="B33" s="99"/>
      <c r="C33" s="91" t="s">
        <v>419</v>
      </c>
      <c r="D33" s="99" t="s">
        <v>419</v>
      </c>
      <c r="E33" s="99" t="s">
        <v>368</v>
      </c>
      <c r="F33" s="99"/>
      <c r="G33" s="99"/>
      <c r="H33" s="99"/>
      <c r="I33" s="99"/>
      <c r="J33" s="99"/>
      <c r="K33" s="99"/>
      <c r="L33" s="99">
        <v>1</v>
      </c>
      <c r="M33" s="99">
        <v>1</v>
      </c>
      <c r="N33" s="99">
        <v>1</v>
      </c>
      <c r="O33" s="99"/>
      <c r="P33" s="99"/>
      <c r="Q33" s="99">
        <v>1</v>
      </c>
      <c r="R33" s="99"/>
      <c r="S33" s="99">
        <v>1</v>
      </c>
      <c r="T33" s="99">
        <v>1</v>
      </c>
      <c r="U33" s="99">
        <f t="shared" si="0"/>
        <v>6</v>
      </c>
      <c r="V33" s="80" t="e">
        <f>VLOOKUP(C33,#REF!,3,0)</f>
        <v>#REF!</v>
      </c>
      <c r="W33" s="80">
        <f>VLOOKUP(D33,[1]Sheet3!$F:$AM,34,0)</f>
        <v>12</v>
      </c>
      <c r="Y33" s="80">
        <f>VLOOKUP(D33,[1]Sheet3!$F:$AN,35,0)</f>
        <v>0</v>
      </c>
      <c r="Z33" s="80" t="e">
        <f t="shared" si="1"/>
        <v>#REF!</v>
      </c>
    </row>
    <row r="34" spans="1:26">
      <c r="A34" s="99">
        <v>32</v>
      </c>
      <c r="B34" s="99" t="s">
        <v>238</v>
      </c>
      <c r="C34" s="96">
        <v>101407413648</v>
      </c>
      <c r="D34" s="99" t="s">
        <v>311</v>
      </c>
      <c r="E34" s="99" t="s">
        <v>441</v>
      </c>
      <c r="F34" s="99"/>
      <c r="G34" s="99"/>
      <c r="H34" s="99">
        <v>2</v>
      </c>
      <c r="I34" s="99">
        <v>1</v>
      </c>
      <c r="J34" s="99">
        <v>1</v>
      </c>
      <c r="K34" s="99"/>
      <c r="L34" s="99">
        <v>1</v>
      </c>
      <c r="M34" s="99">
        <v>1</v>
      </c>
      <c r="N34" s="99">
        <v>1</v>
      </c>
      <c r="O34" s="99">
        <v>1</v>
      </c>
      <c r="P34" s="99">
        <v>1</v>
      </c>
      <c r="Q34" s="99">
        <v>1</v>
      </c>
      <c r="R34" s="99"/>
      <c r="S34" s="99"/>
      <c r="T34" s="99"/>
      <c r="U34" s="99">
        <f t="shared" si="0"/>
        <v>10</v>
      </c>
      <c r="V34" s="80" t="e">
        <f>VLOOKUP(C34,#REF!,3,0)</f>
        <v>#REF!</v>
      </c>
      <c r="W34" s="80">
        <f>VLOOKUP(D34,[1]Sheet3!$F:$AM,34,0)</f>
        <v>26</v>
      </c>
      <c r="Y34" s="80">
        <f>VLOOKUP(D34,[1]Sheet3!$F:$AN,35,0)</f>
        <v>0</v>
      </c>
      <c r="Z34" s="80" t="e">
        <f t="shared" si="1"/>
        <v>#REF!</v>
      </c>
    </row>
    <row r="35" spans="1:26">
      <c r="A35" s="99">
        <v>33</v>
      </c>
      <c r="B35" s="99" t="s">
        <v>239</v>
      </c>
      <c r="C35" s="96">
        <v>101391642731</v>
      </c>
      <c r="D35" s="99" t="s">
        <v>131</v>
      </c>
      <c r="E35" s="99" t="s">
        <v>441</v>
      </c>
      <c r="F35" s="99"/>
      <c r="G35" s="99"/>
      <c r="H35" s="99">
        <v>1</v>
      </c>
      <c r="I35" s="99">
        <v>1</v>
      </c>
      <c r="J35" s="99">
        <v>1</v>
      </c>
      <c r="K35" s="99"/>
      <c r="L35" s="99"/>
      <c r="M35" s="99">
        <v>1</v>
      </c>
      <c r="N35" s="99">
        <v>1</v>
      </c>
      <c r="O35" s="99">
        <v>1</v>
      </c>
      <c r="P35" s="99">
        <v>1</v>
      </c>
      <c r="Q35" s="99">
        <v>1</v>
      </c>
      <c r="R35" s="99"/>
      <c r="S35" s="99">
        <v>1</v>
      </c>
      <c r="T35" s="99">
        <v>1</v>
      </c>
      <c r="U35" s="99">
        <f t="shared" ref="U35:U66" si="2">SUM(F35:T35)</f>
        <v>10</v>
      </c>
      <c r="V35" s="80" t="e">
        <f>VLOOKUP(C35,#REF!,3,0)</f>
        <v>#REF!</v>
      </c>
      <c r="W35" s="80">
        <f>VLOOKUP(D35,[1]Sheet3!$F:$AM,34,0)</f>
        <v>24</v>
      </c>
      <c r="Y35" s="80">
        <f>VLOOKUP(D35,[1]Sheet3!$F:$AN,35,0)</f>
        <v>0</v>
      </c>
      <c r="Z35" s="80" t="e">
        <f t="shared" si="1"/>
        <v>#REF!</v>
      </c>
    </row>
    <row r="36" spans="1:26">
      <c r="A36" s="99">
        <v>34</v>
      </c>
      <c r="B36" s="99" t="s">
        <v>249</v>
      </c>
      <c r="C36" s="96">
        <v>101373078654</v>
      </c>
      <c r="D36" s="99" t="s">
        <v>312</v>
      </c>
      <c r="E36" s="99" t="s">
        <v>441</v>
      </c>
      <c r="F36" s="99"/>
      <c r="G36" s="99"/>
      <c r="H36" s="99">
        <v>1</v>
      </c>
      <c r="I36" s="99">
        <v>1</v>
      </c>
      <c r="J36" s="99">
        <v>1</v>
      </c>
      <c r="K36" s="99"/>
      <c r="L36" s="99">
        <v>1</v>
      </c>
      <c r="M36" s="99">
        <v>1</v>
      </c>
      <c r="N36" s="99">
        <v>1</v>
      </c>
      <c r="O36" s="99">
        <v>1</v>
      </c>
      <c r="P36" s="99">
        <v>1</v>
      </c>
      <c r="Q36" s="99">
        <v>1</v>
      </c>
      <c r="R36" s="99"/>
      <c r="S36" s="99">
        <v>1</v>
      </c>
      <c r="T36" s="99">
        <v>1</v>
      </c>
      <c r="U36" s="99">
        <f t="shared" si="2"/>
        <v>11</v>
      </c>
      <c r="V36" s="80" t="e">
        <f>VLOOKUP(C36,#REF!,3,0)</f>
        <v>#REF!</v>
      </c>
      <c r="W36" s="80">
        <f>VLOOKUP(D36,[1]Sheet3!$F:$AM,34,0)</f>
        <v>21</v>
      </c>
      <c r="Y36" s="80">
        <f>VLOOKUP(D36,[1]Sheet3!$F:$AN,35,0)</f>
        <v>0</v>
      </c>
      <c r="Z36" s="80" t="e">
        <f t="shared" si="1"/>
        <v>#REF!</v>
      </c>
    </row>
    <row r="37" spans="1:26">
      <c r="A37" s="99">
        <v>35</v>
      </c>
      <c r="B37" s="99" t="s">
        <v>256</v>
      </c>
      <c r="C37" s="96">
        <v>101747190938</v>
      </c>
      <c r="D37" s="99" t="s">
        <v>313</v>
      </c>
      <c r="E37" s="99" t="s">
        <v>441</v>
      </c>
      <c r="F37" s="99"/>
      <c r="G37" s="99"/>
      <c r="H37" s="99">
        <v>1</v>
      </c>
      <c r="I37" s="99">
        <v>1</v>
      </c>
      <c r="J37" s="99">
        <v>1</v>
      </c>
      <c r="K37" s="99">
        <v>1</v>
      </c>
      <c r="L37" s="99">
        <v>1</v>
      </c>
      <c r="M37" s="99">
        <v>1</v>
      </c>
      <c r="N37" s="99">
        <v>1</v>
      </c>
      <c r="O37" s="99">
        <v>2</v>
      </c>
      <c r="P37" s="99">
        <v>1</v>
      </c>
      <c r="Q37" s="99">
        <v>1</v>
      </c>
      <c r="R37" s="99"/>
      <c r="S37" s="99">
        <v>1</v>
      </c>
      <c r="T37" s="99">
        <v>1</v>
      </c>
      <c r="U37" s="99">
        <f t="shared" si="2"/>
        <v>13</v>
      </c>
      <c r="V37" s="80" t="e">
        <f>VLOOKUP(C37,#REF!,3,0)</f>
        <v>#REF!</v>
      </c>
      <c r="W37" s="80">
        <f>VLOOKUP(D37,[1]Sheet3!$F:$AM,34,0)</f>
        <v>27</v>
      </c>
      <c r="Y37" s="80">
        <f>VLOOKUP(D37,[1]Sheet3!$F:$AN,35,0)</f>
        <v>1000</v>
      </c>
      <c r="Z37" s="80" t="e">
        <f t="shared" si="1"/>
        <v>#REF!</v>
      </c>
    </row>
    <row r="38" spans="1:26">
      <c r="A38" s="99">
        <v>37</v>
      </c>
      <c r="B38" s="99" t="s">
        <v>268</v>
      </c>
      <c r="C38" s="96">
        <v>101520450548</v>
      </c>
      <c r="D38" s="99" t="s">
        <v>314</v>
      </c>
      <c r="E38" s="99" t="s">
        <v>441</v>
      </c>
      <c r="F38" s="99"/>
      <c r="G38" s="99"/>
      <c r="H38" s="99">
        <v>1</v>
      </c>
      <c r="I38" s="99">
        <v>1</v>
      </c>
      <c r="J38" s="99">
        <v>1</v>
      </c>
      <c r="K38" s="99">
        <v>1</v>
      </c>
      <c r="L38" s="99">
        <v>1</v>
      </c>
      <c r="M38" s="99">
        <v>1</v>
      </c>
      <c r="N38" s="99">
        <v>1</v>
      </c>
      <c r="O38" s="99">
        <v>1</v>
      </c>
      <c r="P38" s="99">
        <v>1</v>
      </c>
      <c r="Q38" s="99">
        <v>1</v>
      </c>
      <c r="R38" s="99"/>
      <c r="S38" s="99">
        <v>1</v>
      </c>
      <c r="T38" s="99">
        <v>1</v>
      </c>
      <c r="U38" s="99">
        <f t="shared" si="2"/>
        <v>12</v>
      </c>
      <c r="V38" s="80" t="e">
        <f>VLOOKUP(C38,#REF!,3,0)</f>
        <v>#REF!</v>
      </c>
      <c r="W38" s="80">
        <f>VLOOKUP(D38,[1]Sheet3!$F:$AM,34,0)</f>
        <v>27</v>
      </c>
      <c r="Y38" s="80">
        <f>VLOOKUP(D38,[1]Sheet3!$F:$AN,35,0)</f>
        <v>500</v>
      </c>
      <c r="Z38" s="80" t="e">
        <f t="shared" si="1"/>
        <v>#REF!</v>
      </c>
    </row>
    <row r="39" spans="1:26">
      <c r="A39" s="99">
        <v>38</v>
      </c>
      <c r="B39" s="99" t="s">
        <v>244</v>
      </c>
      <c r="C39" s="96">
        <v>101475170616</v>
      </c>
      <c r="D39" s="99" t="s">
        <v>315</v>
      </c>
      <c r="E39" s="99" t="s">
        <v>441</v>
      </c>
      <c r="F39" s="99"/>
      <c r="G39" s="99"/>
      <c r="H39" s="99">
        <v>1</v>
      </c>
      <c r="I39" s="99">
        <v>1</v>
      </c>
      <c r="J39" s="99">
        <v>1</v>
      </c>
      <c r="K39" s="99"/>
      <c r="L39" s="99">
        <v>1</v>
      </c>
      <c r="M39" s="99">
        <v>1</v>
      </c>
      <c r="N39" s="99">
        <v>1</v>
      </c>
      <c r="O39" s="99">
        <v>1</v>
      </c>
      <c r="P39" s="99">
        <v>1</v>
      </c>
      <c r="Q39" s="99">
        <v>1</v>
      </c>
      <c r="R39" s="99"/>
      <c r="S39" s="99">
        <v>1</v>
      </c>
      <c r="T39" s="99">
        <v>1</v>
      </c>
      <c r="U39" s="99">
        <f t="shared" si="2"/>
        <v>11</v>
      </c>
      <c r="V39" s="80" t="e">
        <f>VLOOKUP(C39,#REF!,3,0)</f>
        <v>#REF!</v>
      </c>
      <c r="W39" s="80">
        <f>VLOOKUP(D39,[1]Sheet3!$F:$AM,34,0)</f>
        <v>20.5</v>
      </c>
      <c r="Y39" s="80">
        <f>VLOOKUP(D39,[1]Sheet3!$F:$AN,35,0)</f>
        <v>0</v>
      </c>
      <c r="Z39" s="80" t="e">
        <f t="shared" si="1"/>
        <v>#REF!</v>
      </c>
    </row>
    <row r="40" spans="1:26">
      <c r="A40" s="99">
        <v>39</v>
      </c>
      <c r="B40" s="99"/>
      <c r="C40" s="128">
        <v>101154454730</v>
      </c>
      <c r="D40" s="99" t="s">
        <v>395</v>
      </c>
      <c r="E40" s="99" t="s">
        <v>441</v>
      </c>
      <c r="F40" s="99"/>
      <c r="G40" s="99">
        <v>1</v>
      </c>
      <c r="H40" s="99">
        <v>1</v>
      </c>
      <c r="I40" s="99">
        <v>1</v>
      </c>
      <c r="J40" s="99">
        <v>1</v>
      </c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>
        <f t="shared" si="2"/>
        <v>4</v>
      </c>
      <c r="V40" s="80" t="e">
        <f>VLOOKUP(C40,#REF!,3,0)</f>
        <v>#REF!</v>
      </c>
      <c r="W40" s="80">
        <f>VLOOKUP(D40,[1]Sheet3!$F:$AM,34,0)</f>
        <v>15.5</v>
      </c>
      <c r="Y40" s="80">
        <f>VLOOKUP(D40,[1]Sheet3!$F:$AN,35,0)</f>
        <v>0</v>
      </c>
      <c r="Z40" s="80" t="e">
        <f t="shared" si="1"/>
        <v>#REF!</v>
      </c>
    </row>
    <row r="41" spans="1:26">
      <c r="A41" s="99">
        <v>40</v>
      </c>
      <c r="B41" s="99"/>
      <c r="C41" s="91" t="s">
        <v>397</v>
      </c>
      <c r="D41" s="99" t="s">
        <v>397</v>
      </c>
      <c r="E41" s="99" t="s">
        <v>441</v>
      </c>
      <c r="F41" s="99"/>
      <c r="G41" s="99">
        <v>1</v>
      </c>
      <c r="H41" s="99">
        <v>1</v>
      </c>
      <c r="I41" s="99">
        <v>1</v>
      </c>
      <c r="J41" s="99">
        <v>1</v>
      </c>
      <c r="K41" s="99"/>
      <c r="L41" s="99">
        <v>1</v>
      </c>
      <c r="M41" s="99">
        <v>1</v>
      </c>
      <c r="N41" s="99">
        <v>1</v>
      </c>
      <c r="O41" s="99">
        <v>1</v>
      </c>
      <c r="P41" s="99">
        <v>1</v>
      </c>
      <c r="Q41" s="99">
        <v>1</v>
      </c>
      <c r="R41" s="99"/>
      <c r="S41" s="99"/>
      <c r="T41" s="99">
        <v>1</v>
      </c>
      <c r="U41" s="99">
        <f t="shared" si="2"/>
        <v>11</v>
      </c>
      <c r="V41" s="80" t="e">
        <f>VLOOKUP(C41,#REF!,3,0)</f>
        <v>#REF!</v>
      </c>
      <c r="W41" s="80">
        <f>VLOOKUP(D41,[1]Sheet3!$F:$AM,34,0)</f>
        <v>25</v>
      </c>
      <c r="Y41" s="80">
        <f>VLOOKUP(D41,[1]Sheet3!$F:$AN,35,0)</f>
        <v>500</v>
      </c>
      <c r="Z41" s="80" t="e">
        <f t="shared" si="1"/>
        <v>#REF!</v>
      </c>
    </row>
    <row r="42" spans="1:26">
      <c r="A42" s="99">
        <v>41</v>
      </c>
      <c r="B42" s="99" t="s">
        <v>342</v>
      </c>
      <c r="C42" s="96">
        <v>102209140373</v>
      </c>
      <c r="D42" s="99" t="s">
        <v>336</v>
      </c>
      <c r="E42" s="99" t="s">
        <v>441</v>
      </c>
      <c r="F42" s="99"/>
      <c r="G42" s="99">
        <v>1</v>
      </c>
      <c r="H42" s="99">
        <v>0.5</v>
      </c>
      <c r="I42" s="99">
        <v>1</v>
      </c>
      <c r="J42" s="99">
        <v>1</v>
      </c>
      <c r="K42" s="99"/>
      <c r="L42" s="99">
        <v>1</v>
      </c>
      <c r="M42" s="99"/>
      <c r="N42" s="99">
        <v>1</v>
      </c>
      <c r="O42" s="99">
        <v>1</v>
      </c>
      <c r="P42" s="99">
        <v>1</v>
      </c>
      <c r="Q42" s="99">
        <v>1</v>
      </c>
      <c r="R42" s="99">
        <v>1</v>
      </c>
      <c r="S42" s="99">
        <v>1</v>
      </c>
      <c r="T42" s="99">
        <v>1</v>
      </c>
      <c r="U42" s="99">
        <f t="shared" si="2"/>
        <v>11.5</v>
      </c>
      <c r="V42" s="80" t="e">
        <f>VLOOKUP(C42,#REF!,3,0)</f>
        <v>#REF!</v>
      </c>
      <c r="W42" s="80">
        <f>VLOOKUP(D42,[1]Sheet3!$F:$AM,34,0)</f>
        <v>25.5</v>
      </c>
      <c r="Y42" s="80">
        <f>VLOOKUP(D42,[1]Sheet3!$F:$AN,35,0)</f>
        <v>0</v>
      </c>
      <c r="Z42" s="80" t="e">
        <f t="shared" si="1"/>
        <v>#REF!</v>
      </c>
    </row>
    <row r="43" spans="1:26">
      <c r="A43" s="99">
        <v>42</v>
      </c>
      <c r="B43" s="99"/>
      <c r="C43" s="96">
        <v>101591620448</v>
      </c>
      <c r="D43" s="99" t="s">
        <v>386</v>
      </c>
      <c r="E43" s="99" t="s">
        <v>441</v>
      </c>
      <c r="F43" s="99"/>
      <c r="G43" s="99">
        <v>1</v>
      </c>
      <c r="H43" s="99">
        <v>0.5</v>
      </c>
      <c r="I43" s="99">
        <v>1</v>
      </c>
      <c r="J43" s="99">
        <v>1</v>
      </c>
      <c r="K43" s="99"/>
      <c r="L43" s="99"/>
      <c r="M43" s="99">
        <v>1</v>
      </c>
      <c r="N43" s="99">
        <v>1</v>
      </c>
      <c r="O43" s="99">
        <v>1</v>
      </c>
      <c r="P43" s="99">
        <v>1</v>
      </c>
      <c r="Q43" s="99">
        <v>1</v>
      </c>
      <c r="R43" s="99"/>
      <c r="S43" s="99"/>
      <c r="T43" s="99">
        <v>1</v>
      </c>
      <c r="U43" s="99">
        <f t="shared" si="2"/>
        <v>9.5</v>
      </c>
      <c r="V43" s="80" t="e">
        <f>VLOOKUP(C43,#REF!,3,0)</f>
        <v>#REF!</v>
      </c>
      <c r="W43" s="80">
        <f>VLOOKUP(D43,[1]Sheet3!$F:$AM,34,0)</f>
        <v>21.5</v>
      </c>
      <c r="Y43" s="80">
        <f>VLOOKUP(D43,[1]Sheet3!$F:$AN,35,0)</f>
        <v>0</v>
      </c>
      <c r="Z43" s="80" t="e">
        <f t="shared" si="1"/>
        <v>#REF!</v>
      </c>
    </row>
    <row r="44" spans="1:26">
      <c r="A44" s="99">
        <v>43</v>
      </c>
      <c r="B44" s="99"/>
      <c r="C44" s="96">
        <v>101509952020</v>
      </c>
      <c r="D44" s="99" t="s">
        <v>35</v>
      </c>
      <c r="E44" s="99" t="s">
        <v>441</v>
      </c>
      <c r="F44" s="99"/>
      <c r="G44" s="99">
        <v>1</v>
      </c>
      <c r="H44" s="99">
        <v>1</v>
      </c>
      <c r="I44" s="99">
        <v>1</v>
      </c>
      <c r="J44" s="99">
        <v>1</v>
      </c>
      <c r="K44" s="99">
        <v>1</v>
      </c>
      <c r="L44" s="99">
        <v>1</v>
      </c>
      <c r="M44" s="99">
        <v>1</v>
      </c>
      <c r="N44" s="99">
        <v>1</v>
      </c>
      <c r="O44" s="99">
        <v>1</v>
      </c>
      <c r="P44" s="99">
        <v>1</v>
      </c>
      <c r="Q44" s="99">
        <v>1</v>
      </c>
      <c r="R44" s="99"/>
      <c r="S44" s="99">
        <v>1</v>
      </c>
      <c r="T44" s="99">
        <v>1</v>
      </c>
      <c r="U44" s="99">
        <f t="shared" si="2"/>
        <v>13</v>
      </c>
      <c r="V44" s="80" t="e">
        <f>VLOOKUP(C44,#REF!,3,0)</f>
        <v>#REF!</v>
      </c>
      <c r="W44" s="80">
        <f>VLOOKUP(D44,[1]Sheet3!$F:$AM,34,0)</f>
        <v>26.5</v>
      </c>
      <c r="Y44" s="80">
        <f>VLOOKUP(D44,[1]Sheet3!$F:$AN,35,0)</f>
        <v>1000</v>
      </c>
      <c r="Z44" s="80" t="e">
        <f t="shared" si="1"/>
        <v>#REF!</v>
      </c>
    </row>
    <row r="45" spans="1:26">
      <c r="A45" s="99">
        <v>44</v>
      </c>
      <c r="B45" s="99" t="s">
        <v>246</v>
      </c>
      <c r="C45" s="96">
        <v>102078951370</v>
      </c>
      <c r="D45" s="99" t="s">
        <v>149</v>
      </c>
      <c r="E45" s="99" t="s">
        <v>441</v>
      </c>
      <c r="F45" s="99"/>
      <c r="G45" s="99"/>
      <c r="H45" s="99"/>
      <c r="I45" s="99"/>
      <c r="J45" s="99"/>
      <c r="K45" s="99"/>
      <c r="L45" s="99">
        <v>1</v>
      </c>
      <c r="M45" s="99">
        <v>1</v>
      </c>
      <c r="N45" s="99">
        <v>1</v>
      </c>
      <c r="O45" s="99">
        <v>1</v>
      </c>
      <c r="P45" s="99">
        <v>1</v>
      </c>
      <c r="Q45" s="99">
        <v>1</v>
      </c>
      <c r="R45" s="99"/>
      <c r="S45" s="99"/>
      <c r="T45" s="99"/>
      <c r="U45" s="99">
        <f t="shared" si="2"/>
        <v>6</v>
      </c>
      <c r="V45" s="80" t="e">
        <f>VLOOKUP(C45,#REF!,3,0)</f>
        <v>#REF!</v>
      </c>
      <c r="W45" s="80">
        <f>VLOOKUP(D45,[1]Sheet3!$F:$AM,34,0)</f>
        <v>14.5</v>
      </c>
      <c r="Y45" s="80">
        <f>VLOOKUP(D45,[1]Sheet3!$F:$AN,35,0)</f>
        <v>0</v>
      </c>
      <c r="Z45" s="80" t="e">
        <f t="shared" si="1"/>
        <v>#REF!</v>
      </c>
    </row>
    <row r="46" spans="1:26" ht="13.8">
      <c r="A46" s="99">
        <v>45</v>
      </c>
      <c r="B46" s="99"/>
      <c r="C46" s="127">
        <v>101424676055</v>
      </c>
      <c r="D46" s="99" t="s">
        <v>367</v>
      </c>
      <c r="E46" s="99" t="s">
        <v>441</v>
      </c>
      <c r="F46" s="99"/>
      <c r="G46" s="99">
        <v>1</v>
      </c>
      <c r="H46" s="99">
        <v>1</v>
      </c>
      <c r="I46" s="99">
        <v>1</v>
      </c>
      <c r="J46" s="99">
        <v>1</v>
      </c>
      <c r="K46" s="99">
        <v>1</v>
      </c>
      <c r="L46" s="99">
        <v>1</v>
      </c>
      <c r="M46" s="99">
        <v>1</v>
      </c>
      <c r="N46" s="99">
        <v>1</v>
      </c>
      <c r="O46" s="99">
        <v>0.5</v>
      </c>
      <c r="P46" s="99">
        <v>1</v>
      </c>
      <c r="Q46" s="99">
        <v>1</v>
      </c>
      <c r="R46" s="99"/>
      <c r="S46" s="99">
        <v>1</v>
      </c>
      <c r="T46" s="99">
        <v>1</v>
      </c>
      <c r="U46" s="99">
        <f t="shared" si="2"/>
        <v>12.5</v>
      </c>
      <c r="V46" s="80" t="e">
        <f>VLOOKUP(C46,#REF!,3,0)</f>
        <v>#REF!</v>
      </c>
      <c r="W46" s="80">
        <f>VLOOKUP(D46,[1]Sheet3!$F:$AM,34,0)</f>
        <v>26.5</v>
      </c>
      <c r="Y46" s="80">
        <f>VLOOKUP(D46,[1]Sheet3!$F:$AN,35,0)</f>
        <v>1000</v>
      </c>
      <c r="Z46" s="80" t="e">
        <f t="shared" si="1"/>
        <v>#REF!</v>
      </c>
    </row>
    <row r="47" spans="1:26">
      <c r="A47" s="99">
        <v>46</v>
      </c>
      <c r="B47" s="99" t="s">
        <v>350</v>
      </c>
      <c r="C47" s="96">
        <v>101591620411</v>
      </c>
      <c r="D47" s="99" t="s">
        <v>316</v>
      </c>
      <c r="E47" s="99" t="s">
        <v>441</v>
      </c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>
        <f t="shared" si="2"/>
        <v>0</v>
      </c>
      <c r="V47" s="80" t="e">
        <f>VLOOKUP(C47,#REF!,3,0)</f>
        <v>#REF!</v>
      </c>
      <c r="W47" s="80">
        <f>VLOOKUP(D47,[1]Sheet3!$F:$AM,34,0)</f>
        <v>9</v>
      </c>
      <c r="Y47" s="80">
        <f>VLOOKUP(D47,[1]Sheet3!$F:$AN,35,0)</f>
        <v>0</v>
      </c>
      <c r="Z47" s="80" t="e">
        <f t="shared" si="1"/>
        <v>#REF!</v>
      </c>
    </row>
    <row r="48" spans="1:26">
      <c r="A48" s="99">
        <v>45</v>
      </c>
      <c r="B48" s="99" t="s">
        <v>289</v>
      </c>
      <c r="C48" s="96">
        <v>101732689727</v>
      </c>
      <c r="D48" s="99" t="s">
        <v>89</v>
      </c>
      <c r="E48" s="99" t="s">
        <v>441</v>
      </c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>
        <f t="shared" si="2"/>
        <v>0</v>
      </c>
      <c r="V48" s="80" t="e">
        <f>VLOOKUP(C48,#REF!,3,0)</f>
        <v>#REF!</v>
      </c>
      <c r="W48" s="80">
        <f>VLOOKUP(D48,[1]Sheet3!$F:$AM,34,0)</f>
        <v>0</v>
      </c>
      <c r="Y48" s="80">
        <f>VLOOKUP(D48,[1]Sheet3!$F:$AN,35,0)</f>
        <v>0</v>
      </c>
      <c r="Z48" s="80" t="e">
        <f t="shared" si="1"/>
        <v>#REF!</v>
      </c>
    </row>
    <row r="49" spans="1:26">
      <c r="A49" s="99">
        <v>46</v>
      </c>
      <c r="B49" s="99" t="s">
        <v>254</v>
      </c>
      <c r="C49" s="96">
        <v>101522138160</v>
      </c>
      <c r="D49" s="99" t="s">
        <v>318</v>
      </c>
      <c r="E49" s="99" t="s">
        <v>441</v>
      </c>
      <c r="F49" s="99"/>
      <c r="G49" s="99">
        <v>1</v>
      </c>
      <c r="H49" s="99"/>
      <c r="I49" s="99">
        <v>1</v>
      </c>
      <c r="J49" s="99">
        <v>1</v>
      </c>
      <c r="K49" s="99"/>
      <c r="L49" s="99">
        <v>1</v>
      </c>
      <c r="M49" s="99">
        <v>1</v>
      </c>
      <c r="N49" s="99">
        <v>1</v>
      </c>
      <c r="O49" s="99">
        <v>1</v>
      </c>
      <c r="P49" s="99">
        <v>1</v>
      </c>
      <c r="Q49" s="99">
        <v>1</v>
      </c>
      <c r="R49" s="99"/>
      <c r="S49" s="99">
        <v>1</v>
      </c>
      <c r="T49" s="99">
        <v>1</v>
      </c>
      <c r="U49" s="99">
        <f t="shared" si="2"/>
        <v>11</v>
      </c>
      <c r="V49" s="80" t="e">
        <f>VLOOKUP(C49,#REF!,3,0)</f>
        <v>#REF!</v>
      </c>
      <c r="W49" s="80">
        <f>VLOOKUP(D49,[1]Sheet3!$F:$AM,34,0)</f>
        <v>23.5</v>
      </c>
      <c r="Y49" s="80">
        <f>VLOOKUP(D49,[1]Sheet3!$F:$AN,35,0)</f>
        <v>0</v>
      </c>
      <c r="Z49" s="80" t="e">
        <f t="shared" si="1"/>
        <v>#REF!</v>
      </c>
    </row>
    <row r="50" spans="1:26">
      <c r="A50" s="99">
        <v>47</v>
      </c>
      <c r="B50" s="99" t="s">
        <v>278</v>
      </c>
      <c r="C50" s="96">
        <v>101835374035</v>
      </c>
      <c r="D50" s="99" t="s">
        <v>97</v>
      </c>
      <c r="E50" s="99" t="s">
        <v>441</v>
      </c>
      <c r="F50" s="99"/>
      <c r="G50" s="99">
        <v>1</v>
      </c>
      <c r="H50" s="99"/>
      <c r="I50" s="99"/>
      <c r="J50" s="99"/>
      <c r="K50" s="99"/>
      <c r="L50" s="99"/>
      <c r="M50" s="99"/>
      <c r="N50" s="99"/>
      <c r="O50" s="99"/>
      <c r="P50" s="99">
        <v>1</v>
      </c>
      <c r="Q50" s="99">
        <v>1</v>
      </c>
      <c r="R50" s="99"/>
      <c r="S50" s="99">
        <v>1</v>
      </c>
      <c r="T50" s="99">
        <v>1</v>
      </c>
      <c r="U50" s="99">
        <f t="shared" si="2"/>
        <v>5</v>
      </c>
      <c r="V50" s="80" t="e">
        <f>VLOOKUP(C50,#REF!,3,0)</f>
        <v>#REF!</v>
      </c>
      <c r="W50" s="80">
        <f>VLOOKUP(D50,[1]Sheet3!$F:$AM,34,0)</f>
        <v>16</v>
      </c>
      <c r="Y50" s="80">
        <f>VLOOKUP(D50,[1]Sheet3!$F:$AN,35,0)</f>
        <v>0</v>
      </c>
      <c r="Z50" s="80" t="e">
        <f t="shared" si="1"/>
        <v>#REF!</v>
      </c>
    </row>
    <row r="51" spans="1:26">
      <c r="A51" s="99">
        <v>48</v>
      </c>
      <c r="B51" s="99"/>
      <c r="C51" s="96">
        <v>102053057886</v>
      </c>
      <c r="D51" s="99" t="s">
        <v>320</v>
      </c>
      <c r="E51" s="99" t="s">
        <v>441</v>
      </c>
      <c r="F51" s="99"/>
      <c r="G51" s="99">
        <v>1</v>
      </c>
      <c r="H51" s="99"/>
      <c r="I51" s="99">
        <v>1</v>
      </c>
      <c r="J51" s="99">
        <v>1</v>
      </c>
      <c r="K51" s="99">
        <v>1</v>
      </c>
      <c r="L51" s="99">
        <v>1</v>
      </c>
      <c r="M51" s="99"/>
      <c r="N51" s="99"/>
      <c r="O51" s="99">
        <v>1</v>
      </c>
      <c r="P51" s="99">
        <v>1</v>
      </c>
      <c r="Q51" s="99">
        <v>1</v>
      </c>
      <c r="R51" s="99"/>
      <c r="S51" s="99">
        <v>1</v>
      </c>
      <c r="T51" s="99">
        <v>1</v>
      </c>
      <c r="U51" s="99">
        <f t="shared" si="2"/>
        <v>10</v>
      </c>
      <c r="V51" s="80" t="e">
        <f>VLOOKUP(C51,#REF!,3,0)</f>
        <v>#REF!</v>
      </c>
      <c r="W51" s="80">
        <f>VLOOKUP(D51,[1]Sheet3!$F:$AM,34,0)</f>
        <v>14</v>
      </c>
      <c r="Y51" s="80">
        <f>VLOOKUP(D51,[1]Sheet3!$F:$AN,35,0)</f>
        <v>0</v>
      </c>
      <c r="Z51" s="80" t="e">
        <f t="shared" si="1"/>
        <v>#REF!</v>
      </c>
    </row>
    <row r="52" spans="1:26">
      <c r="A52" s="99">
        <v>49</v>
      </c>
      <c r="B52" s="99"/>
      <c r="C52" s="128">
        <v>101241926666</v>
      </c>
      <c r="D52" s="99" t="s">
        <v>387</v>
      </c>
      <c r="E52" s="99" t="s">
        <v>441</v>
      </c>
      <c r="F52" s="99"/>
      <c r="G52" s="99"/>
      <c r="H52" s="99"/>
      <c r="I52" s="99">
        <v>1</v>
      </c>
      <c r="J52" s="99">
        <v>1</v>
      </c>
      <c r="K52" s="99">
        <v>1</v>
      </c>
      <c r="L52" s="99"/>
      <c r="M52" s="99"/>
      <c r="N52" s="99"/>
      <c r="O52" s="99">
        <v>1</v>
      </c>
      <c r="P52" s="99">
        <v>1</v>
      </c>
      <c r="Q52" s="99"/>
      <c r="R52" s="99"/>
      <c r="S52" s="99"/>
      <c r="T52" s="99"/>
      <c r="U52" s="99">
        <f t="shared" si="2"/>
        <v>5</v>
      </c>
      <c r="V52" s="80" t="e">
        <f>VLOOKUP(C52,#REF!,3,0)</f>
        <v>#REF!</v>
      </c>
      <c r="W52" s="80">
        <f>VLOOKUP(D52,[1]Sheet3!$F:$AM,34,0)</f>
        <v>16</v>
      </c>
      <c r="Y52" s="80">
        <f>VLOOKUP(D52,[1]Sheet3!$F:$AN,35,0)</f>
        <v>0</v>
      </c>
      <c r="Z52" s="80" t="e">
        <f t="shared" si="1"/>
        <v>#REF!</v>
      </c>
    </row>
    <row r="53" spans="1:26">
      <c r="A53" s="99">
        <v>50</v>
      </c>
      <c r="B53" s="99" t="s">
        <v>259</v>
      </c>
      <c r="C53" s="96">
        <v>102143026061</v>
      </c>
      <c r="D53" s="99" t="s">
        <v>166</v>
      </c>
      <c r="E53" s="99" t="s">
        <v>441</v>
      </c>
      <c r="F53" s="99"/>
      <c r="G53" s="99">
        <v>1</v>
      </c>
      <c r="H53" s="99">
        <v>1</v>
      </c>
      <c r="I53" s="99">
        <v>1</v>
      </c>
      <c r="J53" s="99">
        <v>1</v>
      </c>
      <c r="K53" s="99">
        <v>1</v>
      </c>
      <c r="L53" s="99"/>
      <c r="M53" s="99"/>
      <c r="N53" s="99"/>
      <c r="O53" s="99"/>
      <c r="P53" s="99"/>
      <c r="Q53" s="99"/>
      <c r="R53" s="99">
        <v>0.5</v>
      </c>
      <c r="S53" s="99"/>
      <c r="T53" s="99"/>
      <c r="U53" s="99">
        <f t="shared" si="2"/>
        <v>5.5</v>
      </c>
      <c r="V53" s="80" t="e">
        <f>VLOOKUP(C53,#REF!,3,0)</f>
        <v>#REF!</v>
      </c>
      <c r="W53" s="80">
        <f>VLOOKUP(D53,[1]Sheet3!$F:$AM,34,0)</f>
        <v>11</v>
      </c>
      <c r="Y53" s="80">
        <f>VLOOKUP(D53,[1]Sheet3!$F:$AN,35,0)</f>
        <v>0</v>
      </c>
      <c r="Z53" s="80" t="e">
        <f t="shared" si="1"/>
        <v>#REF!</v>
      </c>
    </row>
    <row r="54" spans="1:26">
      <c r="A54" s="99">
        <v>51</v>
      </c>
      <c r="B54" s="99"/>
      <c r="C54" s="96">
        <v>101807758862</v>
      </c>
      <c r="D54" s="99" t="s">
        <v>391</v>
      </c>
      <c r="E54" s="99" t="s">
        <v>441</v>
      </c>
      <c r="F54" s="99"/>
      <c r="G54" s="99">
        <v>1</v>
      </c>
      <c r="H54" s="99">
        <v>1</v>
      </c>
      <c r="I54" s="99">
        <v>1</v>
      </c>
      <c r="J54" s="99">
        <v>1</v>
      </c>
      <c r="K54" s="99"/>
      <c r="L54" s="99">
        <v>1</v>
      </c>
      <c r="M54" s="99"/>
      <c r="N54" s="99">
        <v>1</v>
      </c>
      <c r="O54" s="99">
        <v>1</v>
      </c>
      <c r="P54" s="99">
        <v>1</v>
      </c>
      <c r="Q54" s="99">
        <v>1</v>
      </c>
      <c r="R54" s="99"/>
      <c r="S54" s="99">
        <v>1</v>
      </c>
      <c r="T54" s="99">
        <v>1</v>
      </c>
      <c r="U54" s="99">
        <f t="shared" si="2"/>
        <v>11</v>
      </c>
      <c r="V54" s="80" t="e">
        <f>VLOOKUP(C54,#REF!,3,0)</f>
        <v>#REF!</v>
      </c>
      <c r="W54" s="80">
        <f>VLOOKUP(D54,[1]Sheet3!$F:$AM,34,0)</f>
        <v>25</v>
      </c>
      <c r="Y54" s="80">
        <f>VLOOKUP(D54,[1]Sheet3!$F:$AN,35,0)</f>
        <v>500</v>
      </c>
      <c r="Z54" s="80" t="e">
        <f t="shared" si="1"/>
        <v>#REF!</v>
      </c>
    </row>
    <row r="55" spans="1:26">
      <c r="A55" s="99">
        <v>52</v>
      </c>
      <c r="B55" s="99" t="s">
        <v>240</v>
      </c>
      <c r="C55" s="96">
        <v>102086533444</v>
      </c>
      <c r="D55" s="99" t="s">
        <v>335</v>
      </c>
      <c r="E55" s="99" t="s">
        <v>441</v>
      </c>
      <c r="F55" s="99"/>
      <c r="G55" s="99">
        <v>1</v>
      </c>
      <c r="H55" s="99">
        <v>1</v>
      </c>
      <c r="I55" s="99">
        <v>1</v>
      </c>
      <c r="J55" s="99">
        <v>1</v>
      </c>
      <c r="K55" s="99"/>
      <c r="L55" s="99">
        <v>1</v>
      </c>
      <c r="M55" s="99"/>
      <c r="N55" s="99"/>
      <c r="O55" s="99">
        <v>1</v>
      </c>
      <c r="P55" s="99">
        <v>1</v>
      </c>
      <c r="Q55" s="99">
        <v>1</v>
      </c>
      <c r="R55" s="99">
        <v>0.5</v>
      </c>
      <c r="S55" s="99">
        <v>1</v>
      </c>
      <c r="T55" s="99">
        <v>1</v>
      </c>
      <c r="U55" s="99">
        <f t="shared" si="2"/>
        <v>10.5</v>
      </c>
      <c r="V55" s="80" t="e">
        <f>VLOOKUP(C55,#REF!,3,0)</f>
        <v>#REF!</v>
      </c>
      <c r="W55" s="80">
        <f>VLOOKUP(D55,[1]Sheet3!$F:$AM,34,0)</f>
        <v>25.5</v>
      </c>
      <c r="Y55" s="80">
        <f>VLOOKUP(D55,[1]Sheet3!$F:$AN,35,0)</f>
        <v>0</v>
      </c>
      <c r="Z55" s="80" t="e">
        <f t="shared" si="1"/>
        <v>#REF!</v>
      </c>
    </row>
    <row r="56" spans="1:26">
      <c r="A56" s="99">
        <v>53</v>
      </c>
      <c r="B56" s="99" t="s">
        <v>358</v>
      </c>
      <c r="C56" s="96">
        <v>102235752061</v>
      </c>
      <c r="D56" s="99" t="s">
        <v>351</v>
      </c>
      <c r="E56" s="99" t="s">
        <v>441</v>
      </c>
      <c r="F56" s="99"/>
      <c r="G56" s="99">
        <v>1</v>
      </c>
      <c r="H56" s="99">
        <v>0.5</v>
      </c>
      <c r="I56" s="99">
        <v>1</v>
      </c>
      <c r="J56" s="99">
        <v>1</v>
      </c>
      <c r="K56" s="99"/>
      <c r="L56" s="99">
        <v>1</v>
      </c>
      <c r="M56" s="99">
        <v>1</v>
      </c>
      <c r="N56" s="99"/>
      <c r="O56" s="99"/>
      <c r="P56" s="99"/>
      <c r="Q56" s="99">
        <v>1</v>
      </c>
      <c r="R56" s="99"/>
      <c r="S56" s="99">
        <v>1</v>
      </c>
      <c r="T56" s="99">
        <v>1</v>
      </c>
      <c r="U56" s="99">
        <f t="shared" si="2"/>
        <v>8.5</v>
      </c>
      <c r="V56" s="80" t="e">
        <f>VLOOKUP(C56,#REF!,3,0)</f>
        <v>#REF!</v>
      </c>
      <c r="W56" s="80">
        <f>VLOOKUP(D56,[1]Sheet3!$F:$AM,34,0)</f>
        <v>22.5</v>
      </c>
      <c r="Y56" s="80">
        <f>VLOOKUP(D56,[1]Sheet3!$F:$AN,35,0)</f>
        <v>0</v>
      </c>
      <c r="Z56" s="80" t="e">
        <f t="shared" si="1"/>
        <v>#REF!</v>
      </c>
    </row>
    <row r="57" spans="1:26">
      <c r="A57" s="99">
        <v>54</v>
      </c>
      <c r="B57" s="99" t="s">
        <v>294</v>
      </c>
      <c r="C57" s="96">
        <v>101084612898</v>
      </c>
      <c r="D57" s="99" t="s">
        <v>295</v>
      </c>
      <c r="E57" s="99" t="s">
        <v>441</v>
      </c>
      <c r="F57" s="99"/>
      <c r="G57" s="99">
        <v>1</v>
      </c>
      <c r="H57" s="99">
        <v>0.5</v>
      </c>
      <c r="I57" s="99">
        <v>1</v>
      </c>
      <c r="J57" s="99"/>
      <c r="K57" s="99"/>
      <c r="L57" s="99"/>
      <c r="M57" s="99"/>
      <c r="N57" s="99"/>
      <c r="O57" s="99"/>
      <c r="P57" s="99">
        <v>1</v>
      </c>
      <c r="Q57" s="99">
        <v>1</v>
      </c>
      <c r="R57" s="99"/>
      <c r="S57" s="99">
        <v>1</v>
      </c>
      <c r="T57" s="99">
        <v>1</v>
      </c>
      <c r="U57" s="99">
        <f t="shared" si="2"/>
        <v>6.5</v>
      </c>
      <c r="V57" s="80" t="e">
        <f>VLOOKUP(C57,#REF!,3,0)</f>
        <v>#REF!</v>
      </c>
      <c r="W57" s="80">
        <f>VLOOKUP(D57,[1]Sheet3!$F:$AM,34,0)</f>
        <v>17</v>
      </c>
      <c r="Y57" s="80">
        <f>VLOOKUP(D57,[1]Sheet3!$F:$AN,35,0)</f>
        <v>0</v>
      </c>
      <c r="Z57" s="80" t="e">
        <f t="shared" si="1"/>
        <v>#REF!</v>
      </c>
    </row>
    <row r="58" spans="1:26">
      <c r="A58" s="99">
        <v>55</v>
      </c>
      <c r="B58" s="99" t="s">
        <v>292</v>
      </c>
      <c r="C58" s="96">
        <v>102190249257</v>
      </c>
      <c r="D58" s="99" t="s">
        <v>233</v>
      </c>
      <c r="E58" s="99" t="s">
        <v>441</v>
      </c>
      <c r="F58" s="99"/>
      <c r="G58" s="99"/>
      <c r="H58" s="99">
        <v>1</v>
      </c>
      <c r="I58" s="99">
        <v>1</v>
      </c>
      <c r="J58" s="99">
        <v>1</v>
      </c>
      <c r="K58" s="99"/>
      <c r="L58" s="99">
        <v>1</v>
      </c>
      <c r="M58" s="99">
        <v>1</v>
      </c>
      <c r="N58" s="99"/>
      <c r="O58" s="99">
        <v>1</v>
      </c>
      <c r="P58" s="99">
        <v>1</v>
      </c>
      <c r="Q58" s="99">
        <v>1</v>
      </c>
      <c r="R58" s="99"/>
      <c r="S58" s="99">
        <v>1</v>
      </c>
      <c r="T58" s="99">
        <v>1</v>
      </c>
      <c r="U58" s="99">
        <f t="shared" si="2"/>
        <v>10</v>
      </c>
      <c r="V58" s="80" t="e">
        <f>VLOOKUP(C58,#REF!,3,0)</f>
        <v>#REF!</v>
      </c>
      <c r="W58" s="80">
        <f>VLOOKUP(D58,[1]Sheet3!$F:$AM,34,0)</f>
        <v>22</v>
      </c>
      <c r="Y58" s="80">
        <f>VLOOKUP(D58,[1]Sheet3!$F:$AN,35,0)</f>
        <v>0</v>
      </c>
      <c r="Z58" s="80" t="e">
        <f t="shared" si="1"/>
        <v>#REF!</v>
      </c>
    </row>
    <row r="59" spans="1:26">
      <c r="A59" s="99">
        <v>56</v>
      </c>
      <c r="B59" s="99" t="s">
        <v>260</v>
      </c>
      <c r="C59" s="96">
        <v>101805790352</v>
      </c>
      <c r="D59" s="99" t="s">
        <v>317</v>
      </c>
      <c r="E59" s="99" t="s">
        <v>441</v>
      </c>
      <c r="F59" s="99"/>
      <c r="G59" s="99">
        <v>1</v>
      </c>
      <c r="H59" s="99">
        <v>0.5</v>
      </c>
      <c r="I59" s="99">
        <v>1</v>
      </c>
      <c r="J59" s="99">
        <v>1</v>
      </c>
      <c r="K59" s="99"/>
      <c r="L59" s="99">
        <v>1</v>
      </c>
      <c r="M59" s="99">
        <v>1</v>
      </c>
      <c r="N59" s="99">
        <v>1</v>
      </c>
      <c r="O59" s="99">
        <v>1</v>
      </c>
      <c r="P59" s="99">
        <v>1</v>
      </c>
      <c r="Q59" s="99"/>
      <c r="R59" s="99"/>
      <c r="S59" s="99">
        <v>1</v>
      </c>
      <c r="T59" s="99">
        <v>1</v>
      </c>
      <c r="U59" s="99">
        <f t="shared" si="2"/>
        <v>10.5</v>
      </c>
      <c r="V59" s="80" t="e">
        <f>VLOOKUP(C59,#REF!,3,0)</f>
        <v>#REF!</v>
      </c>
      <c r="W59" s="80">
        <f>VLOOKUP(D59,[1]Sheet3!$F:$AM,34,0)</f>
        <v>23.5</v>
      </c>
      <c r="Y59" s="80">
        <f>VLOOKUP(D59,[1]Sheet3!$F:$AN,35,0)</f>
        <v>0</v>
      </c>
      <c r="Z59" s="80" t="e">
        <f t="shared" si="1"/>
        <v>#REF!</v>
      </c>
    </row>
    <row r="60" spans="1:26">
      <c r="A60" s="99">
        <v>57</v>
      </c>
      <c r="B60" s="99"/>
      <c r="C60" s="96" t="s">
        <v>402</v>
      </c>
      <c r="D60" s="99" t="s">
        <v>402</v>
      </c>
      <c r="E60" s="99" t="s">
        <v>441</v>
      </c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>
        <f t="shared" si="2"/>
        <v>0</v>
      </c>
      <c r="V60" s="80" t="e">
        <f>VLOOKUP(C60,#REF!,3,0)</f>
        <v>#REF!</v>
      </c>
      <c r="W60" s="80">
        <f>VLOOKUP(D60,[1]Sheet3!$F:$AM,34,0)</f>
        <v>0</v>
      </c>
      <c r="Y60" s="80">
        <f>VLOOKUP(D60,[1]Sheet3!$F:$AN,35,0)</f>
        <v>0</v>
      </c>
      <c r="Z60" s="80" t="e">
        <f t="shared" si="1"/>
        <v>#REF!</v>
      </c>
    </row>
    <row r="61" spans="1:26">
      <c r="A61" s="99">
        <v>58</v>
      </c>
      <c r="B61" s="99"/>
      <c r="C61" s="96" t="s">
        <v>401</v>
      </c>
      <c r="D61" s="99" t="s">
        <v>401</v>
      </c>
      <c r="E61" s="99" t="s">
        <v>441</v>
      </c>
      <c r="F61" s="99"/>
      <c r="G61" s="99"/>
      <c r="H61" s="99">
        <v>1</v>
      </c>
      <c r="I61" s="99">
        <v>1</v>
      </c>
      <c r="J61" s="99">
        <v>1</v>
      </c>
      <c r="K61" s="99"/>
      <c r="L61" s="99">
        <v>1</v>
      </c>
      <c r="M61" s="99">
        <v>1</v>
      </c>
      <c r="N61" s="99">
        <v>1</v>
      </c>
      <c r="O61" s="99">
        <v>1</v>
      </c>
      <c r="P61" s="99">
        <v>1</v>
      </c>
      <c r="Q61" s="99">
        <v>1</v>
      </c>
      <c r="R61" s="99"/>
      <c r="S61" s="99">
        <v>0.5</v>
      </c>
      <c r="T61" s="99">
        <v>1</v>
      </c>
      <c r="U61" s="99">
        <f t="shared" si="2"/>
        <v>10.5</v>
      </c>
      <c r="V61" s="80" t="e">
        <f>VLOOKUP(C61,#REF!,3,0)</f>
        <v>#REF!</v>
      </c>
      <c r="W61" s="80">
        <f>VLOOKUP(D61,[1]Sheet3!$F:$AM,34,0)</f>
        <v>24.5</v>
      </c>
      <c r="Y61" s="80">
        <f>VLOOKUP(D61,[1]Sheet3!$F:$AN,35,0)</f>
        <v>0</v>
      </c>
      <c r="Z61" s="80" t="e">
        <f t="shared" si="1"/>
        <v>#REF!</v>
      </c>
    </row>
    <row r="62" spans="1:26">
      <c r="A62" s="99">
        <v>59</v>
      </c>
      <c r="B62" s="99"/>
      <c r="C62" s="96" t="s">
        <v>388</v>
      </c>
      <c r="D62" s="99" t="s">
        <v>388</v>
      </c>
      <c r="E62" s="99" t="s">
        <v>441</v>
      </c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>
        <v>1</v>
      </c>
      <c r="U62" s="99">
        <f t="shared" si="2"/>
        <v>1</v>
      </c>
      <c r="V62" s="80" t="e">
        <f>VLOOKUP(C62,#REF!,3,0)</f>
        <v>#REF!</v>
      </c>
      <c r="W62" s="80">
        <f>VLOOKUP(D62,[1]Sheet3!$F:$AM,34,0)</f>
        <v>9</v>
      </c>
      <c r="Y62" s="80">
        <f>VLOOKUP(D62,[1]Sheet3!$F:$AN,35,0)</f>
        <v>0</v>
      </c>
      <c r="Z62" s="80" t="e">
        <f t="shared" si="1"/>
        <v>#REF!</v>
      </c>
    </row>
    <row r="63" spans="1:26" s="196" customFormat="1">
      <c r="A63" s="195">
        <v>60</v>
      </c>
      <c r="B63" s="80"/>
      <c r="C63" s="128">
        <v>101811097763</v>
      </c>
      <c r="D63" s="195" t="s">
        <v>425</v>
      </c>
      <c r="E63" s="195" t="s">
        <v>441</v>
      </c>
      <c r="F63" s="195"/>
      <c r="G63" s="195">
        <v>1</v>
      </c>
      <c r="H63" s="195">
        <v>1</v>
      </c>
      <c r="I63" s="195">
        <v>1</v>
      </c>
      <c r="J63" s="195">
        <v>1</v>
      </c>
      <c r="K63" s="195"/>
      <c r="L63" s="195">
        <v>1</v>
      </c>
      <c r="M63" s="195">
        <v>1</v>
      </c>
      <c r="N63" s="195"/>
      <c r="O63" s="195"/>
      <c r="P63" s="195">
        <v>2</v>
      </c>
      <c r="Q63" s="195">
        <v>1</v>
      </c>
      <c r="R63" s="195"/>
      <c r="S63" s="195"/>
      <c r="T63" s="195"/>
      <c r="U63" s="195">
        <f t="shared" si="2"/>
        <v>9</v>
      </c>
      <c r="V63" s="196" t="e">
        <f>VLOOKUP(C63,#REF!,3,0)</f>
        <v>#REF!</v>
      </c>
      <c r="W63" s="80">
        <f>VLOOKUP(D63,[1]Sheet3!$F:$AM,34,0)</f>
        <v>9</v>
      </c>
      <c r="Y63" s="80">
        <f>VLOOKUP(D63,[1]Sheet3!$F:$AN,35,0)</f>
        <v>0</v>
      </c>
      <c r="Z63" s="80" t="e">
        <f t="shared" si="1"/>
        <v>#REF!</v>
      </c>
    </row>
    <row r="64" spans="1:26">
      <c r="A64" s="99">
        <v>60</v>
      </c>
      <c r="B64" s="99" t="s">
        <v>357</v>
      </c>
      <c r="C64" s="96" t="s">
        <v>428</v>
      </c>
      <c r="D64" s="99" t="s">
        <v>428</v>
      </c>
      <c r="E64" s="99" t="s">
        <v>441</v>
      </c>
      <c r="F64" s="99"/>
      <c r="G64" s="99"/>
      <c r="H64" s="99"/>
      <c r="I64" s="99"/>
      <c r="J64" s="99"/>
      <c r="K64" s="99"/>
      <c r="L64" s="99"/>
      <c r="M64" s="99"/>
      <c r="N64" s="99">
        <v>1</v>
      </c>
      <c r="O64" s="99"/>
      <c r="P64" s="99"/>
      <c r="Q64" s="99"/>
      <c r="R64" s="99"/>
      <c r="S64" s="99"/>
      <c r="T64" s="99"/>
      <c r="U64" s="99">
        <f t="shared" si="2"/>
        <v>1</v>
      </c>
      <c r="V64" s="80" t="e">
        <f>VLOOKUP(C64,#REF!,3,0)</f>
        <v>#REF!</v>
      </c>
      <c r="W64" s="80">
        <f>VLOOKUP(D64,[1]Sheet3!$F:$AM,34,0)</f>
        <v>1</v>
      </c>
      <c r="Y64" s="80">
        <f>VLOOKUP(D64,[1]Sheet3!$F:$AN,35,0)</f>
        <v>0</v>
      </c>
      <c r="Z64" s="80" t="e">
        <f t="shared" si="1"/>
        <v>#REF!</v>
      </c>
    </row>
    <row r="65" spans="1:26">
      <c r="A65" s="99">
        <v>61</v>
      </c>
      <c r="B65" s="99" t="s">
        <v>272</v>
      </c>
      <c r="C65" s="96">
        <v>101428896909</v>
      </c>
      <c r="D65" s="99" t="s">
        <v>134</v>
      </c>
      <c r="E65" s="99" t="s">
        <v>442</v>
      </c>
      <c r="F65" s="99"/>
      <c r="G65" s="99"/>
      <c r="H65" s="99"/>
      <c r="I65" s="99"/>
      <c r="J65" s="99">
        <v>2</v>
      </c>
      <c r="K65" s="99"/>
      <c r="L65" s="99">
        <v>1</v>
      </c>
      <c r="M65" s="99">
        <v>1</v>
      </c>
      <c r="N65" s="99">
        <v>2</v>
      </c>
      <c r="O65" s="99"/>
      <c r="P65" s="99">
        <v>1</v>
      </c>
      <c r="Q65" s="99">
        <v>1</v>
      </c>
      <c r="R65" s="99"/>
      <c r="S65" s="99">
        <v>1</v>
      </c>
      <c r="T65" s="99">
        <v>1</v>
      </c>
      <c r="U65" s="99">
        <f t="shared" si="2"/>
        <v>10</v>
      </c>
      <c r="V65" s="80" t="e">
        <f>VLOOKUP(C65,#REF!,3,0)</f>
        <v>#REF!</v>
      </c>
      <c r="W65" s="80">
        <f>VLOOKUP(D65,[1]Sheet3!$F:$AM,34,0)</f>
        <v>24</v>
      </c>
      <c r="Y65" s="80">
        <f>VLOOKUP(D65,[1]Sheet3!$F:$AN,35,0)</f>
        <v>0</v>
      </c>
      <c r="Z65" s="80" t="e">
        <f t="shared" si="1"/>
        <v>#REF!</v>
      </c>
    </row>
    <row r="66" spans="1:26">
      <c r="A66" s="99">
        <v>62</v>
      </c>
      <c r="B66" s="99" t="s">
        <v>269</v>
      </c>
      <c r="C66" s="96">
        <v>101951607397</v>
      </c>
      <c r="D66" s="99" t="s">
        <v>321</v>
      </c>
      <c r="E66" s="99" t="s">
        <v>442</v>
      </c>
      <c r="F66" s="99"/>
      <c r="G66" s="99">
        <v>1</v>
      </c>
      <c r="H66" s="99"/>
      <c r="I66" s="99">
        <v>1</v>
      </c>
      <c r="J66" s="99"/>
      <c r="K66" s="99"/>
      <c r="L66" s="99">
        <v>1</v>
      </c>
      <c r="M66" s="99">
        <v>1</v>
      </c>
      <c r="N66" s="99">
        <v>1</v>
      </c>
      <c r="O66" s="99">
        <v>1</v>
      </c>
      <c r="P66" s="99">
        <v>1</v>
      </c>
      <c r="Q66" s="99">
        <v>1</v>
      </c>
      <c r="R66" s="99"/>
      <c r="S66" s="99">
        <v>1</v>
      </c>
      <c r="T66" s="99">
        <v>1</v>
      </c>
      <c r="U66" s="99">
        <f t="shared" si="2"/>
        <v>10</v>
      </c>
      <c r="V66" s="80" t="e">
        <f>VLOOKUP(C66,#REF!,3,0)</f>
        <v>#REF!</v>
      </c>
      <c r="W66" s="80">
        <f>VLOOKUP(D66,[1]Sheet3!$F:$AM,34,0)</f>
        <v>28</v>
      </c>
      <c r="Y66" s="80">
        <f>VLOOKUP(D66,[1]Sheet3!$F:$AN,35,0)</f>
        <v>500</v>
      </c>
      <c r="Z66" s="80" t="e">
        <f t="shared" si="1"/>
        <v>#REF!</v>
      </c>
    </row>
    <row r="67" spans="1:26">
      <c r="A67" s="99">
        <v>63</v>
      </c>
      <c r="B67" s="99" t="s">
        <v>279</v>
      </c>
      <c r="C67" s="96">
        <v>101976571122</v>
      </c>
      <c r="D67" s="99" t="s">
        <v>322</v>
      </c>
      <c r="E67" s="99" t="s">
        <v>442</v>
      </c>
      <c r="F67" s="99"/>
      <c r="G67" s="99">
        <v>1</v>
      </c>
      <c r="H67" s="99">
        <v>2</v>
      </c>
      <c r="I67" s="99">
        <v>1</v>
      </c>
      <c r="J67" s="99">
        <v>1</v>
      </c>
      <c r="K67" s="99">
        <v>1</v>
      </c>
      <c r="L67" s="99">
        <v>1</v>
      </c>
      <c r="M67" s="99">
        <v>1</v>
      </c>
      <c r="N67" s="99">
        <v>1</v>
      </c>
      <c r="O67" s="99">
        <v>1</v>
      </c>
      <c r="P67" s="99">
        <v>1</v>
      </c>
      <c r="Q67" s="99">
        <v>1</v>
      </c>
      <c r="R67" s="99">
        <v>1</v>
      </c>
      <c r="S67" s="99">
        <v>1</v>
      </c>
      <c r="T67" s="99">
        <v>1</v>
      </c>
      <c r="U67" s="99">
        <f t="shared" ref="U67:U98" si="3">SUM(F67:T67)</f>
        <v>15</v>
      </c>
      <c r="V67" s="80" t="e">
        <f>VLOOKUP(C67,#REF!,3,0)</f>
        <v>#REF!</v>
      </c>
      <c r="W67" s="80">
        <f>VLOOKUP(D67,[1]Sheet3!$F:$AM,34,0)</f>
        <v>30</v>
      </c>
      <c r="Y67" s="80">
        <f>VLOOKUP(D67,[1]Sheet3!$F:$AN,35,0)</f>
        <v>2500</v>
      </c>
      <c r="Z67" s="80" t="e">
        <f t="shared" ref="Z67:Z111" si="4">Y67=V67</f>
        <v>#REF!</v>
      </c>
    </row>
    <row r="68" spans="1:26">
      <c r="A68" s="99">
        <v>64</v>
      </c>
      <c r="B68" s="99" t="s">
        <v>267</v>
      </c>
      <c r="C68" s="96">
        <v>101447270865</v>
      </c>
      <c r="D68" s="99" t="s">
        <v>323</v>
      </c>
      <c r="E68" s="99" t="s">
        <v>442</v>
      </c>
      <c r="F68" s="99"/>
      <c r="G68" s="99">
        <v>1</v>
      </c>
      <c r="H68" s="99">
        <v>1</v>
      </c>
      <c r="I68" s="99">
        <v>1</v>
      </c>
      <c r="J68" s="99">
        <v>1</v>
      </c>
      <c r="K68" s="99">
        <v>1</v>
      </c>
      <c r="L68" s="99">
        <v>1</v>
      </c>
      <c r="M68" s="99">
        <v>1</v>
      </c>
      <c r="N68" s="99">
        <v>1</v>
      </c>
      <c r="O68" s="99">
        <v>1</v>
      </c>
      <c r="P68" s="99">
        <v>1</v>
      </c>
      <c r="Q68" s="99">
        <v>1</v>
      </c>
      <c r="R68" s="99"/>
      <c r="S68" s="99"/>
      <c r="T68" s="99"/>
      <c r="U68" s="99">
        <f t="shared" si="3"/>
        <v>11</v>
      </c>
      <c r="V68" s="80" t="e">
        <f>VLOOKUP(C68,#REF!,3,0)</f>
        <v>#REF!</v>
      </c>
      <c r="W68" s="80">
        <f>VLOOKUP(D68,[1]Sheet3!$F:$AM,34,0)</f>
        <v>22</v>
      </c>
      <c r="Y68" s="80">
        <f>VLOOKUP(D68,[1]Sheet3!$F:$AN,35,0)</f>
        <v>0</v>
      </c>
      <c r="Z68" s="80" t="e">
        <f t="shared" si="4"/>
        <v>#REF!</v>
      </c>
    </row>
    <row r="69" spans="1:26">
      <c r="A69" s="99">
        <v>65</v>
      </c>
      <c r="B69" s="99" t="s">
        <v>237</v>
      </c>
      <c r="C69" s="96">
        <v>101931400073</v>
      </c>
      <c r="D69" s="99" t="s">
        <v>324</v>
      </c>
      <c r="E69" s="99" t="s">
        <v>442</v>
      </c>
      <c r="F69" s="99"/>
      <c r="G69" s="99">
        <v>1</v>
      </c>
      <c r="H69" s="99">
        <v>1</v>
      </c>
      <c r="I69" s="99">
        <v>1</v>
      </c>
      <c r="J69" s="99">
        <v>1</v>
      </c>
      <c r="K69" s="99"/>
      <c r="L69" s="99">
        <v>1</v>
      </c>
      <c r="M69" s="99"/>
      <c r="N69" s="99"/>
      <c r="O69" s="99"/>
      <c r="P69" s="99"/>
      <c r="Q69" s="99"/>
      <c r="R69" s="99"/>
      <c r="S69" s="99"/>
      <c r="T69" s="99">
        <v>1</v>
      </c>
      <c r="U69" s="99">
        <f t="shared" si="3"/>
        <v>6</v>
      </c>
      <c r="V69" s="80" t="e">
        <f>VLOOKUP(C69,#REF!,3,0)</f>
        <v>#REF!</v>
      </c>
      <c r="W69" s="80">
        <f>VLOOKUP(D69,[1]Sheet3!$F:$AM,34,0)</f>
        <v>18</v>
      </c>
      <c r="Y69" s="80">
        <f>VLOOKUP(D69,[1]Sheet3!$F:$AN,35,0)</f>
        <v>0</v>
      </c>
      <c r="Z69" s="80" t="e">
        <f t="shared" si="4"/>
        <v>#REF!</v>
      </c>
    </row>
    <row r="70" spans="1:26">
      <c r="A70" s="99">
        <v>66</v>
      </c>
      <c r="B70" s="99" t="s">
        <v>349</v>
      </c>
      <c r="C70" s="96">
        <v>101868848739</v>
      </c>
      <c r="D70" s="99" t="s">
        <v>171</v>
      </c>
      <c r="E70" s="99" t="s">
        <v>442</v>
      </c>
      <c r="F70" s="99"/>
      <c r="G70" s="99">
        <v>1</v>
      </c>
      <c r="H70" s="99">
        <v>1</v>
      </c>
      <c r="I70" s="99">
        <v>1</v>
      </c>
      <c r="J70" s="99">
        <v>1</v>
      </c>
      <c r="K70" s="99"/>
      <c r="L70" s="99">
        <v>1</v>
      </c>
      <c r="M70" s="99">
        <v>1</v>
      </c>
      <c r="N70" s="99">
        <v>1</v>
      </c>
      <c r="O70" s="99">
        <v>1</v>
      </c>
      <c r="P70" s="99">
        <v>1</v>
      </c>
      <c r="Q70" s="99">
        <v>1</v>
      </c>
      <c r="R70" s="99"/>
      <c r="S70" s="99">
        <v>1</v>
      </c>
      <c r="T70" s="99"/>
      <c r="U70" s="99">
        <f t="shared" si="3"/>
        <v>11</v>
      </c>
      <c r="V70" s="80" t="e">
        <f>VLOOKUP(C70,#REF!,3,0)</f>
        <v>#REF!</v>
      </c>
      <c r="W70" s="80">
        <f>VLOOKUP(D70,[1]Sheet3!$F:$AM,34,0)</f>
        <v>25</v>
      </c>
      <c r="Y70" s="80">
        <f>VLOOKUP(D70,[1]Sheet3!$F:$AN,35,0)</f>
        <v>500</v>
      </c>
      <c r="Z70" s="80" t="e">
        <f t="shared" si="4"/>
        <v>#REF!</v>
      </c>
    </row>
    <row r="71" spans="1:26">
      <c r="A71" s="99">
        <v>67</v>
      </c>
      <c r="B71" s="99" t="s">
        <v>255</v>
      </c>
      <c r="C71" s="96">
        <v>102125816854</v>
      </c>
      <c r="D71" s="99" t="s">
        <v>325</v>
      </c>
      <c r="E71" s="99" t="s">
        <v>442</v>
      </c>
      <c r="F71" s="99"/>
      <c r="G71" s="99">
        <v>1</v>
      </c>
      <c r="H71" s="99">
        <v>1</v>
      </c>
      <c r="I71" s="99">
        <v>1</v>
      </c>
      <c r="J71" s="99">
        <v>1</v>
      </c>
      <c r="K71" s="99">
        <v>1</v>
      </c>
      <c r="L71" s="99">
        <v>1</v>
      </c>
      <c r="M71" s="99">
        <v>1</v>
      </c>
      <c r="N71" s="99"/>
      <c r="O71" s="99"/>
      <c r="P71" s="99"/>
      <c r="Q71" s="99">
        <v>1</v>
      </c>
      <c r="R71" s="99">
        <v>1</v>
      </c>
      <c r="S71" s="99">
        <v>1</v>
      </c>
      <c r="T71" s="99">
        <v>1</v>
      </c>
      <c r="U71" s="99">
        <f t="shared" si="3"/>
        <v>11</v>
      </c>
      <c r="V71" s="80" t="e">
        <f>VLOOKUP(C71,#REF!,3,0)</f>
        <v>#REF!</v>
      </c>
      <c r="W71" s="80">
        <f>VLOOKUP(D71,[1]Sheet3!$F:$AM,34,0)</f>
        <v>16</v>
      </c>
      <c r="Y71" s="80">
        <f>VLOOKUP(D71,[1]Sheet3!$F:$AN,35,0)</f>
        <v>0</v>
      </c>
      <c r="Z71" s="80" t="e">
        <f t="shared" si="4"/>
        <v>#REF!</v>
      </c>
    </row>
    <row r="72" spans="1:26">
      <c r="A72" s="99">
        <v>68</v>
      </c>
      <c r="B72" s="99" t="s">
        <v>261</v>
      </c>
      <c r="C72" s="96">
        <v>101821692693</v>
      </c>
      <c r="D72" s="99" t="s">
        <v>326</v>
      </c>
      <c r="E72" s="99" t="s">
        <v>443</v>
      </c>
      <c r="F72" s="99"/>
      <c r="G72" s="99">
        <v>1</v>
      </c>
      <c r="H72" s="99">
        <v>1</v>
      </c>
      <c r="I72" s="99"/>
      <c r="J72" s="99"/>
      <c r="K72" s="99"/>
      <c r="L72" s="99">
        <v>1</v>
      </c>
      <c r="M72" s="99">
        <v>1</v>
      </c>
      <c r="N72" s="99"/>
      <c r="O72" s="99"/>
      <c r="P72" s="99">
        <v>1</v>
      </c>
      <c r="Q72" s="99">
        <v>1</v>
      </c>
      <c r="R72" s="99"/>
      <c r="S72" s="99"/>
      <c r="T72" s="99"/>
      <c r="U72" s="99">
        <f t="shared" si="3"/>
        <v>6</v>
      </c>
      <c r="V72" s="80" t="e">
        <f>VLOOKUP(C72,#REF!,3,0)</f>
        <v>#REF!</v>
      </c>
      <c r="W72" s="80">
        <f>VLOOKUP(D72,[1]Sheet3!$F:$AM,34,0)</f>
        <v>12.5</v>
      </c>
      <c r="Y72" s="80">
        <f>VLOOKUP(D72,[1]Sheet3!$F:$AN,35,0)</f>
        <v>0</v>
      </c>
      <c r="Z72" s="80" t="e">
        <f t="shared" si="4"/>
        <v>#REF!</v>
      </c>
    </row>
    <row r="73" spans="1:26">
      <c r="A73" s="99">
        <v>69</v>
      </c>
      <c r="B73" s="99" t="s">
        <v>276</v>
      </c>
      <c r="C73" s="96">
        <v>100450352070</v>
      </c>
      <c r="D73" s="99" t="s">
        <v>327</v>
      </c>
      <c r="E73" s="99" t="s">
        <v>443</v>
      </c>
      <c r="F73" s="99"/>
      <c r="G73" s="99">
        <v>1</v>
      </c>
      <c r="H73" s="99">
        <v>1</v>
      </c>
      <c r="I73" s="99">
        <v>1</v>
      </c>
      <c r="J73" s="99">
        <v>2</v>
      </c>
      <c r="K73" s="99"/>
      <c r="L73" s="99">
        <v>1</v>
      </c>
      <c r="M73" s="99">
        <v>1</v>
      </c>
      <c r="N73" s="99">
        <v>1</v>
      </c>
      <c r="O73" s="99">
        <v>1</v>
      </c>
      <c r="P73" s="99">
        <v>1</v>
      </c>
      <c r="Q73" s="99">
        <v>1</v>
      </c>
      <c r="R73" s="99"/>
      <c r="S73" s="99"/>
      <c r="T73" s="99">
        <v>1</v>
      </c>
      <c r="U73" s="99">
        <f t="shared" si="3"/>
        <v>12</v>
      </c>
      <c r="V73" s="80" t="e">
        <f>VLOOKUP(C73,#REF!,3,0)</f>
        <v>#REF!</v>
      </c>
      <c r="W73" s="80">
        <f>VLOOKUP(D73,[1]Sheet3!$F:$AM,34,0)</f>
        <v>24</v>
      </c>
      <c r="Y73" s="80">
        <f>VLOOKUP(D73,[1]Sheet3!$F:$AN,35,0)</f>
        <v>0</v>
      </c>
      <c r="Z73" s="80" t="e">
        <f t="shared" si="4"/>
        <v>#REF!</v>
      </c>
    </row>
    <row r="74" spans="1:26">
      <c r="A74" s="99">
        <v>70</v>
      </c>
      <c r="B74" s="99" t="s">
        <v>266</v>
      </c>
      <c r="C74" s="96">
        <v>101388345766</v>
      </c>
      <c r="D74" s="99" t="s">
        <v>328</v>
      </c>
      <c r="E74" s="99" t="s">
        <v>443</v>
      </c>
      <c r="F74" s="99"/>
      <c r="G74" s="99">
        <v>1</v>
      </c>
      <c r="H74" s="99">
        <v>1</v>
      </c>
      <c r="I74" s="99">
        <v>1</v>
      </c>
      <c r="J74" s="99">
        <v>1</v>
      </c>
      <c r="K74" s="99"/>
      <c r="L74" s="99"/>
      <c r="M74" s="99"/>
      <c r="N74" s="99"/>
      <c r="O74" s="99">
        <v>1</v>
      </c>
      <c r="P74" s="99">
        <v>1</v>
      </c>
      <c r="Q74" s="99">
        <v>1</v>
      </c>
      <c r="R74" s="99"/>
      <c r="S74" s="99">
        <v>1</v>
      </c>
      <c r="T74" s="99">
        <v>1</v>
      </c>
      <c r="U74" s="99">
        <f t="shared" si="3"/>
        <v>9</v>
      </c>
      <c r="V74" s="80" t="e">
        <f>VLOOKUP(C74,#REF!,3,0)</f>
        <v>#REF!</v>
      </c>
      <c r="W74" s="80">
        <f>VLOOKUP(D74,[1]Sheet3!$F:$AM,34,0)</f>
        <v>23</v>
      </c>
      <c r="Y74" s="80">
        <f>VLOOKUP(D74,[1]Sheet3!$F:$AN,35,0)</f>
        <v>0</v>
      </c>
      <c r="Z74" s="80" t="e">
        <f t="shared" si="4"/>
        <v>#REF!</v>
      </c>
    </row>
    <row r="75" spans="1:26">
      <c r="A75" s="99">
        <v>71</v>
      </c>
      <c r="B75" s="99" t="s">
        <v>277</v>
      </c>
      <c r="C75" s="96">
        <v>101902123648</v>
      </c>
      <c r="D75" s="99" t="s">
        <v>329</v>
      </c>
      <c r="E75" s="99" t="s">
        <v>443</v>
      </c>
      <c r="F75" s="99"/>
      <c r="G75" s="99">
        <v>1</v>
      </c>
      <c r="H75" s="99">
        <v>1</v>
      </c>
      <c r="I75" s="99">
        <v>1</v>
      </c>
      <c r="J75" s="99">
        <v>1</v>
      </c>
      <c r="K75" s="99"/>
      <c r="L75" s="99">
        <v>1</v>
      </c>
      <c r="M75" s="99">
        <v>1</v>
      </c>
      <c r="N75" s="99">
        <v>1</v>
      </c>
      <c r="O75" s="99">
        <v>1</v>
      </c>
      <c r="P75" s="99">
        <v>1</v>
      </c>
      <c r="Q75" s="99">
        <v>1</v>
      </c>
      <c r="R75" s="99"/>
      <c r="S75" s="99">
        <v>1</v>
      </c>
      <c r="T75" s="99">
        <v>1</v>
      </c>
      <c r="U75" s="99">
        <f t="shared" si="3"/>
        <v>12</v>
      </c>
      <c r="V75" s="80" t="e">
        <f>VLOOKUP(C75,#REF!,3,0)</f>
        <v>#REF!</v>
      </c>
      <c r="W75" s="80">
        <f>VLOOKUP(D75,[1]Sheet3!$F:$AM,34,0)</f>
        <v>22.5</v>
      </c>
      <c r="Y75" s="80">
        <f>VLOOKUP(D75,[1]Sheet3!$F:$AN,35,0)</f>
        <v>0</v>
      </c>
      <c r="Z75" s="80" t="e">
        <f t="shared" si="4"/>
        <v>#REF!</v>
      </c>
    </row>
    <row r="76" spans="1:26">
      <c r="A76" s="99">
        <v>72</v>
      </c>
      <c r="B76" s="99" t="s">
        <v>270</v>
      </c>
      <c r="C76" s="96">
        <v>101909060608</v>
      </c>
      <c r="D76" s="99" t="s">
        <v>330</v>
      </c>
      <c r="E76" s="99" t="s">
        <v>443</v>
      </c>
      <c r="F76" s="99"/>
      <c r="G76" s="99">
        <v>1</v>
      </c>
      <c r="H76" s="99">
        <v>1</v>
      </c>
      <c r="I76" s="99">
        <v>1</v>
      </c>
      <c r="J76" s="99">
        <v>1</v>
      </c>
      <c r="K76" s="99"/>
      <c r="L76" s="99">
        <v>1</v>
      </c>
      <c r="M76" s="99">
        <v>1</v>
      </c>
      <c r="N76" s="99">
        <v>2</v>
      </c>
      <c r="O76" s="99">
        <v>0.5</v>
      </c>
      <c r="P76" s="99">
        <v>1</v>
      </c>
      <c r="Q76" s="99">
        <v>1</v>
      </c>
      <c r="R76" s="99"/>
      <c r="S76" s="99"/>
      <c r="T76" s="99"/>
      <c r="U76" s="99">
        <f t="shared" si="3"/>
        <v>10.5</v>
      </c>
      <c r="V76" s="80" t="e">
        <f>VLOOKUP(C76,#REF!,3,0)</f>
        <v>#REF!</v>
      </c>
      <c r="W76" s="80">
        <f>VLOOKUP(D76,[1]Sheet3!$F:$AM,34,0)</f>
        <v>20.5</v>
      </c>
      <c r="Y76" s="80">
        <f>VLOOKUP(D76,[1]Sheet3!$F:$AN,35,0)</f>
        <v>0</v>
      </c>
      <c r="Z76" s="80" t="e">
        <f t="shared" si="4"/>
        <v>#REF!</v>
      </c>
    </row>
    <row r="77" spans="1:26">
      <c r="A77" s="99">
        <v>73</v>
      </c>
      <c r="B77" s="99" t="s">
        <v>283</v>
      </c>
      <c r="C77" s="96">
        <v>102025154331</v>
      </c>
      <c r="D77" s="99" t="s">
        <v>331</v>
      </c>
      <c r="E77" s="99" t="s">
        <v>443</v>
      </c>
      <c r="F77" s="99"/>
      <c r="G77" s="99">
        <v>1</v>
      </c>
      <c r="H77" s="99">
        <v>1</v>
      </c>
      <c r="I77" s="99">
        <v>1</v>
      </c>
      <c r="J77" s="99">
        <v>1</v>
      </c>
      <c r="K77" s="99"/>
      <c r="L77" s="99">
        <v>1</v>
      </c>
      <c r="M77" s="99">
        <v>1</v>
      </c>
      <c r="N77" s="99">
        <v>1</v>
      </c>
      <c r="O77" s="99">
        <v>1</v>
      </c>
      <c r="P77" s="99"/>
      <c r="Q77" s="99"/>
      <c r="R77" s="99"/>
      <c r="S77" s="99"/>
      <c r="T77" s="99"/>
      <c r="U77" s="99">
        <f t="shared" si="3"/>
        <v>8</v>
      </c>
      <c r="V77" s="80" t="e">
        <f>VLOOKUP(C77,#REF!,3,0)</f>
        <v>#REF!</v>
      </c>
      <c r="W77" s="80">
        <f>VLOOKUP(D77,[1]Sheet3!$F:$AM,34,0)</f>
        <v>8</v>
      </c>
      <c r="Y77" s="80">
        <f>VLOOKUP(D77,[1]Sheet3!$F:$AN,35,0)</f>
        <v>0</v>
      </c>
      <c r="Z77" s="80" t="e">
        <f t="shared" si="4"/>
        <v>#REF!</v>
      </c>
    </row>
    <row r="78" spans="1:26">
      <c r="A78" s="99">
        <v>74</v>
      </c>
      <c r="B78" s="99"/>
      <c r="C78" s="96">
        <v>102245251075</v>
      </c>
      <c r="D78" s="99" t="s">
        <v>379</v>
      </c>
      <c r="E78" s="99" t="s">
        <v>443</v>
      </c>
      <c r="F78" s="99"/>
      <c r="G78" s="99">
        <v>1</v>
      </c>
      <c r="H78" s="99">
        <v>1</v>
      </c>
      <c r="I78" s="99">
        <v>1</v>
      </c>
      <c r="J78" s="99">
        <v>1</v>
      </c>
      <c r="K78" s="99"/>
      <c r="L78" s="99">
        <v>1</v>
      </c>
      <c r="M78" s="99">
        <v>1</v>
      </c>
      <c r="N78" s="99">
        <v>1</v>
      </c>
      <c r="O78" s="99"/>
      <c r="P78" s="99">
        <v>1</v>
      </c>
      <c r="Q78" s="99">
        <v>1</v>
      </c>
      <c r="R78" s="99"/>
      <c r="S78" s="99">
        <v>1</v>
      </c>
      <c r="T78" s="99">
        <v>1</v>
      </c>
      <c r="U78" s="99">
        <f t="shared" si="3"/>
        <v>11</v>
      </c>
      <c r="V78" s="80" t="e">
        <f>VLOOKUP(C78,#REF!,3,0)</f>
        <v>#REF!</v>
      </c>
      <c r="W78" s="80">
        <f>VLOOKUP(D78,[1]Sheet3!$F:$AM,34,0)</f>
        <v>25</v>
      </c>
      <c r="Y78" s="80">
        <f>VLOOKUP(D78,[1]Sheet3!$F:$AN,35,0)</f>
        <v>500</v>
      </c>
      <c r="Z78" s="80" t="e">
        <f t="shared" si="4"/>
        <v>#REF!</v>
      </c>
    </row>
    <row r="79" spans="1:26">
      <c r="A79" s="99">
        <v>75</v>
      </c>
      <c r="B79" s="99" t="s">
        <v>245</v>
      </c>
      <c r="C79" s="96">
        <v>102081665259</v>
      </c>
      <c r="D79" s="99" t="s">
        <v>157</v>
      </c>
      <c r="E79" s="99" t="s">
        <v>443</v>
      </c>
      <c r="F79" s="99"/>
      <c r="G79" s="99">
        <v>1</v>
      </c>
      <c r="H79" s="99">
        <v>1</v>
      </c>
      <c r="I79" s="99">
        <v>1</v>
      </c>
      <c r="J79" s="99">
        <v>1</v>
      </c>
      <c r="K79" s="99"/>
      <c r="L79" s="99">
        <v>1</v>
      </c>
      <c r="M79" s="99">
        <v>1</v>
      </c>
      <c r="N79" s="99">
        <v>1</v>
      </c>
      <c r="O79" s="99">
        <v>1</v>
      </c>
      <c r="P79" s="99">
        <v>1</v>
      </c>
      <c r="Q79" s="99">
        <v>1</v>
      </c>
      <c r="R79" s="99"/>
      <c r="S79" s="99">
        <v>1</v>
      </c>
      <c r="T79" s="99">
        <v>1</v>
      </c>
      <c r="U79" s="99">
        <f t="shared" si="3"/>
        <v>12</v>
      </c>
      <c r="V79" s="80" t="e">
        <f>VLOOKUP(C79,#REF!,3,0)</f>
        <v>#REF!</v>
      </c>
      <c r="W79" s="80">
        <f>VLOOKUP(D79,[1]Sheet3!$F:$AM,34,0)</f>
        <v>23</v>
      </c>
      <c r="Y79" s="80">
        <f>VLOOKUP(D79,[1]Sheet3!$F:$AN,35,0)</f>
        <v>0</v>
      </c>
      <c r="Z79" s="80" t="e">
        <f t="shared" si="4"/>
        <v>#REF!</v>
      </c>
    </row>
    <row r="80" spans="1:26">
      <c r="A80" s="99">
        <v>76</v>
      </c>
      <c r="B80" s="99" t="s">
        <v>282</v>
      </c>
      <c r="C80" s="96">
        <v>101235372414</v>
      </c>
      <c r="D80" s="99" t="s">
        <v>92</v>
      </c>
      <c r="E80" s="99" t="s">
        <v>443</v>
      </c>
      <c r="F80" s="99"/>
      <c r="G80" s="99"/>
      <c r="H80" s="99"/>
      <c r="I80" s="99">
        <v>1</v>
      </c>
      <c r="J80" s="99">
        <v>1</v>
      </c>
      <c r="K80" s="99"/>
      <c r="L80" s="99">
        <v>1</v>
      </c>
      <c r="M80" s="99">
        <v>1</v>
      </c>
      <c r="N80" s="99"/>
      <c r="O80" s="99"/>
      <c r="P80" s="99">
        <v>1</v>
      </c>
      <c r="Q80" s="99"/>
      <c r="R80" s="99"/>
      <c r="S80" s="99"/>
      <c r="T80" s="99"/>
      <c r="U80" s="99">
        <f t="shared" si="3"/>
        <v>5</v>
      </c>
      <c r="V80" s="80" t="e">
        <f>VLOOKUP(C80,#REF!,3,0)</f>
        <v>#REF!</v>
      </c>
      <c r="W80" s="80">
        <f>VLOOKUP(D80,[1]Sheet3!$F:$AM,34,0)</f>
        <v>12</v>
      </c>
      <c r="Y80" s="80">
        <f>VLOOKUP(D80,[1]Sheet3!$F:$AN,35,0)</f>
        <v>0</v>
      </c>
      <c r="Z80" s="80" t="e">
        <f t="shared" si="4"/>
        <v>#REF!</v>
      </c>
    </row>
    <row r="81" spans="1:26" ht="13.8">
      <c r="A81" s="99">
        <v>77</v>
      </c>
      <c r="B81" s="99"/>
      <c r="C81" s="127">
        <v>101486099649</v>
      </c>
      <c r="D81" s="99" t="s">
        <v>420</v>
      </c>
      <c r="E81" s="99" t="s">
        <v>443</v>
      </c>
      <c r="F81" s="99">
        <v>1</v>
      </c>
      <c r="G81" s="99"/>
      <c r="H81" s="99">
        <v>1</v>
      </c>
      <c r="I81" s="99">
        <v>1</v>
      </c>
      <c r="J81" s="99">
        <v>1</v>
      </c>
      <c r="K81" s="99"/>
      <c r="L81" s="99">
        <v>1</v>
      </c>
      <c r="M81" s="99"/>
      <c r="N81" s="99">
        <v>1</v>
      </c>
      <c r="O81" s="99">
        <v>1</v>
      </c>
      <c r="P81" s="99"/>
      <c r="Q81" s="99">
        <v>1</v>
      </c>
      <c r="R81" s="99">
        <v>0.5</v>
      </c>
      <c r="S81" s="99">
        <v>1</v>
      </c>
      <c r="T81" s="99">
        <v>1</v>
      </c>
      <c r="U81" s="99">
        <f t="shared" si="3"/>
        <v>10.5</v>
      </c>
      <c r="V81" s="80" t="e">
        <f>VLOOKUP(C81,#REF!,3,0)</f>
        <v>#REF!</v>
      </c>
      <c r="W81" s="80">
        <f>VLOOKUP(D81,[1]Sheet3!$F:$AM,34,0)</f>
        <v>24</v>
      </c>
      <c r="Y81" s="80">
        <f>VLOOKUP(D81,[1]Sheet3!$F:$AN,35,0)</f>
        <v>0</v>
      </c>
      <c r="Z81" s="80" t="e">
        <f t="shared" si="4"/>
        <v>#REF!</v>
      </c>
    </row>
    <row r="82" spans="1:26">
      <c r="A82" s="99">
        <v>78</v>
      </c>
      <c r="B82" s="99" t="s">
        <v>275</v>
      </c>
      <c r="C82" s="96">
        <v>101972731570</v>
      </c>
      <c r="D82" s="99" t="s">
        <v>141</v>
      </c>
      <c r="E82" s="99" t="s">
        <v>439</v>
      </c>
      <c r="F82" s="99"/>
      <c r="G82" s="99">
        <v>1</v>
      </c>
      <c r="H82" s="99">
        <v>1</v>
      </c>
      <c r="I82" s="99">
        <v>2</v>
      </c>
      <c r="J82" s="99">
        <v>1</v>
      </c>
      <c r="K82" s="99"/>
      <c r="L82" s="99">
        <v>1</v>
      </c>
      <c r="M82" s="99">
        <v>1</v>
      </c>
      <c r="N82" s="99">
        <v>1</v>
      </c>
      <c r="O82" s="99">
        <v>1</v>
      </c>
      <c r="P82" s="99">
        <v>1</v>
      </c>
      <c r="Q82" s="99">
        <v>1</v>
      </c>
      <c r="R82" s="99">
        <v>0.5</v>
      </c>
      <c r="S82" s="99">
        <v>1</v>
      </c>
      <c r="T82" s="99">
        <v>1</v>
      </c>
      <c r="U82" s="99">
        <f t="shared" si="3"/>
        <v>13.5</v>
      </c>
      <c r="V82" s="80" t="e">
        <f>VLOOKUP(C82,#REF!,3,0)</f>
        <v>#REF!</v>
      </c>
      <c r="W82" s="80">
        <f>VLOOKUP(D82,[1]Sheet3!$F:$AM,34,0)</f>
        <v>28.5</v>
      </c>
      <c r="Y82" s="80">
        <f>VLOOKUP(D82,[1]Sheet3!$F:$AN,35,0)</f>
        <v>2500</v>
      </c>
      <c r="Z82" s="80" t="e">
        <f t="shared" si="4"/>
        <v>#REF!</v>
      </c>
    </row>
    <row r="83" spans="1:26">
      <c r="A83" s="99">
        <v>79</v>
      </c>
      <c r="B83" s="99" t="s">
        <v>281</v>
      </c>
      <c r="C83" s="96">
        <v>101396804599</v>
      </c>
      <c r="D83" s="99" t="s">
        <v>332</v>
      </c>
      <c r="E83" s="99" t="s">
        <v>439</v>
      </c>
      <c r="F83" s="99"/>
      <c r="G83" s="99">
        <v>1</v>
      </c>
      <c r="H83" s="99">
        <v>1</v>
      </c>
      <c r="I83" s="99">
        <v>1</v>
      </c>
      <c r="J83" s="99">
        <v>1</v>
      </c>
      <c r="K83" s="99"/>
      <c r="L83" s="99">
        <v>1</v>
      </c>
      <c r="M83" s="99">
        <v>1</v>
      </c>
      <c r="N83" s="99">
        <v>1</v>
      </c>
      <c r="O83" s="99">
        <v>1</v>
      </c>
      <c r="P83" s="99">
        <v>1</v>
      </c>
      <c r="Q83" s="99">
        <v>1</v>
      </c>
      <c r="R83" s="99">
        <v>1</v>
      </c>
      <c r="S83" s="99">
        <v>1</v>
      </c>
      <c r="T83" s="99">
        <v>1</v>
      </c>
      <c r="U83" s="99">
        <f t="shared" si="3"/>
        <v>13</v>
      </c>
      <c r="V83" s="80" t="e">
        <f>VLOOKUP(C83,#REF!,3,0)</f>
        <v>#REF!</v>
      </c>
      <c r="W83" s="80">
        <f>VLOOKUP(D83,[1]Sheet3!$F:$AM,34,0)</f>
        <v>28</v>
      </c>
      <c r="Y83" s="80">
        <f>VLOOKUP(D83,[1]Sheet3!$F:$AN,35,0)</f>
        <v>2500</v>
      </c>
      <c r="Z83" s="80" t="e">
        <f t="shared" si="4"/>
        <v>#REF!</v>
      </c>
    </row>
    <row r="84" spans="1:26">
      <c r="A84" s="99">
        <v>80</v>
      </c>
      <c r="B84" s="99" t="s">
        <v>396</v>
      </c>
      <c r="C84" s="96">
        <v>102067179570</v>
      </c>
      <c r="D84" s="99" t="s">
        <v>334</v>
      </c>
      <c r="E84" s="99" t="s">
        <v>439</v>
      </c>
      <c r="F84" s="99"/>
      <c r="G84" s="99">
        <v>1</v>
      </c>
      <c r="H84" s="99">
        <v>1</v>
      </c>
      <c r="I84" s="99">
        <v>2</v>
      </c>
      <c r="J84" s="99">
        <v>2</v>
      </c>
      <c r="K84" s="99"/>
      <c r="L84" s="99">
        <v>1</v>
      </c>
      <c r="M84" s="99">
        <v>1</v>
      </c>
      <c r="N84" s="99">
        <v>1</v>
      </c>
      <c r="O84" s="99">
        <v>1</v>
      </c>
      <c r="P84" s="99">
        <v>1</v>
      </c>
      <c r="Q84" s="99">
        <v>1</v>
      </c>
      <c r="R84" s="99">
        <v>1</v>
      </c>
      <c r="S84" s="99">
        <v>1</v>
      </c>
      <c r="T84" s="99">
        <v>1</v>
      </c>
      <c r="U84" s="99">
        <f t="shared" si="3"/>
        <v>15</v>
      </c>
      <c r="V84" s="80" t="e">
        <f>VLOOKUP(C84,#REF!,3,0)</f>
        <v>#REF!</v>
      </c>
      <c r="W84" s="80">
        <f>VLOOKUP(D84,[1]Sheet3!$F:$AM,34,0)</f>
        <v>29</v>
      </c>
      <c r="Y84" s="80">
        <f>VLOOKUP(D84,[1]Sheet3!$F:$AN,35,0)</f>
        <v>0</v>
      </c>
      <c r="Z84" s="80" t="e">
        <f t="shared" si="4"/>
        <v>#REF!</v>
      </c>
    </row>
    <row r="85" spans="1:26">
      <c r="A85" s="99">
        <v>81</v>
      </c>
      <c r="B85" s="99" t="s">
        <v>241</v>
      </c>
      <c r="C85" s="96">
        <v>102086487131</v>
      </c>
      <c r="D85" s="99" t="s">
        <v>153</v>
      </c>
      <c r="E85" s="99" t="s">
        <v>439</v>
      </c>
      <c r="F85" s="99"/>
      <c r="G85" s="99"/>
      <c r="H85" s="99"/>
      <c r="I85" s="99">
        <v>1</v>
      </c>
      <c r="J85" s="99">
        <v>1</v>
      </c>
      <c r="K85" s="99">
        <v>1</v>
      </c>
      <c r="L85" s="99">
        <v>1</v>
      </c>
      <c r="M85" s="99">
        <v>1</v>
      </c>
      <c r="N85" s="99">
        <v>1</v>
      </c>
      <c r="O85" s="99">
        <v>1</v>
      </c>
      <c r="P85" s="99">
        <v>1</v>
      </c>
      <c r="Q85" s="99">
        <v>1</v>
      </c>
      <c r="R85" s="99"/>
      <c r="S85" s="99">
        <v>1</v>
      </c>
      <c r="T85" s="99">
        <v>1</v>
      </c>
      <c r="U85" s="99">
        <f t="shared" si="3"/>
        <v>11</v>
      </c>
      <c r="V85" s="80" t="e">
        <f>VLOOKUP(C85,#REF!,3,0)</f>
        <v>#REF!</v>
      </c>
      <c r="W85" s="80">
        <f>VLOOKUP(D85,[1]Sheet3!$F:$AM,34,0)</f>
        <v>26</v>
      </c>
      <c r="Y85" s="80">
        <f>VLOOKUP(D85,[1]Sheet3!$F:$AN,35,0)</f>
        <v>500</v>
      </c>
      <c r="Z85" s="80" t="e">
        <f t="shared" si="4"/>
        <v>#REF!</v>
      </c>
    </row>
    <row r="86" spans="1:26">
      <c r="A86" s="99">
        <v>82</v>
      </c>
      <c r="B86" s="99" t="s">
        <v>235</v>
      </c>
      <c r="C86" s="96">
        <v>102062761038</v>
      </c>
      <c r="D86" s="99" t="s">
        <v>156</v>
      </c>
      <c r="E86" s="99" t="s">
        <v>439</v>
      </c>
      <c r="F86" s="99"/>
      <c r="G86" s="99">
        <v>1</v>
      </c>
      <c r="H86" s="99">
        <v>1</v>
      </c>
      <c r="I86" s="99">
        <v>1</v>
      </c>
      <c r="J86" s="99">
        <v>1</v>
      </c>
      <c r="K86" s="99"/>
      <c r="L86" s="99">
        <v>1</v>
      </c>
      <c r="M86" s="99">
        <v>1</v>
      </c>
      <c r="N86" s="99">
        <v>1</v>
      </c>
      <c r="O86" s="99">
        <v>1</v>
      </c>
      <c r="P86" s="99"/>
      <c r="Q86" s="99"/>
      <c r="R86" s="99"/>
      <c r="S86" s="99">
        <v>1</v>
      </c>
      <c r="T86" s="99"/>
      <c r="U86" s="99">
        <f t="shared" si="3"/>
        <v>9</v>
      </c>
      <c r="V86" s="80" t="e">
        <f>VLOOKUP(C86,#REF!,3,0)</f>
        <v>#REF!</v>
      </c>
      <c r="W86" s="80">
        <f>VLOOKUP(D86,[1]Sheet3!$F:$AM,34,0)</f>
        <v>22</v>
      </c>
      <c r="Y86" s="80">
        <f>VLOOKUP(D86,[1]Sheet3!$F:$AN,35,0)</f>
        <v>0</v>
      </c>
      <c r="Z86" s="80" t="e">
        <f t="shared" si="4"/>
        <v>#REF!</v>
      </c>
    </row>
    <row r="87" spans="1:26">
      <c r="A87" s="99">
        <v>83</v>
      </c>
      <c r="B87" s="99" t="s">
        <v>293</v>
      </c>
      <c r="C87" s="96">
        <v>102032852951</v>
      </c>
      <c r="D87" s="99" t="s">
        <v>291</v>
      </c>
      <c r="E87" s="99" t="s">
        <v>439</v>
      </c>
      <c r="F87" s="99"/>
      <c r="G87" s="99">
        <v>1</v>
      </c>
      <c r="H87" s="99"/>
      <c r="I87" s="99">
        <v>1</v>
      </c>
      <c r="J87" s="99">
        <v>1</v>
      </c>
      <c r="K87" s="99">
        <v>1</v>
      </c>
      <c r="L87" s="99">
        <v>1</v>
      </c>
      <c r="M87" s="99">
        <v>1</v>
      </c>
      <c r="N87" s="99">
        <v>1</v>
      </c>
      <c r="O87" s="99">
        <v>1</v>
      </c>
      <c r="P87" s="99"/>
      <c r="Q87" s="99">
        <v>1</v>
      </c>
      <c r="R87" s="99"/>
      <c r="S87" s="99">
        <v>1</v>
      </c>
      <c r="T87" s="99">
        <v>1</v>
      </c>
      <c r="U87" s="99">
        <f t="shared" si="3"/>
        <v>11</v>
      </c>
      <c r="V87" s="80" t="e">
        <f>VLOOKUP(C87,#REF!,3,0)</f>
        <v>#REF!</v>
      </c>
      <c r="W87" s="80">
        <f>VLOOKUP(D87,[1]Sheet3!$F:$AM,34,0)</f>
        <v>19</v>
      </c>
      <c r="Y87" s="80">
        <f>VLOOKUP(D87,[1]Sheet3!$F:$AN,35,0)</f>
        <v>0</v>
      </c>
      <c r="Z87" s="80" t="e">
        <f t="shared" si="4"/>
        <v>#REF!</v>
      </c>
    </row>
    <row r="88" spans="1:26">
      <c r="A88" s="99">
        <v>84</v>
      </c>
      <c r="B88" s="99" t="s">
        <v>265</v>
      </c>
      <c r="C88" s="96">
        <v>101678665637</v>
      </c>
      <c r="D88" s="99" t="s">
        <v>234</v>
      </c>
      <c r="E88" s="99" t="s">
        <v>439</v>
      </c>
      <c r="F88" s="99"/>
      <c r="G88" s="99"/>
      <c r="H88" s="99"/>
      <c r="I88" s="99">
        <v>1</v>
      </c>
      <c r="J88" s="99">
        <v>1</v>
      </c>
      <c r="K88" s="99"/>
      <c r="L88" s="99"/>
      <c r="M88" s="99">
        <v>2</v>
      </c>
      <c r="N88" s="99">
        <v>2</v>
      </c>
      <c r="O88" s="99">
        <v>1</v>
      </c>
      <c r="P88" s="99">
        <v>2</v>
      </c>
      <c r="Q88" s="99">
        <v>2</v>
      </c>
      <c r="R88" s="99"/>
      <c r="S88" s="99">
        <v>1</v>
      </c>
      <c r="T88" s="99">
        <v>1</v>
      </c>
      <c r="U88" s="99">
        <f t="shared" si="3"/>
        <v>13</v>
      </c>
      <c r="V88" s="80" t="e">
        <f>VLOOKUP(C88,#REF!,3,0)</f>
        <v>#REF!</v>
      </c>
      <c r="W88" s="80">
        <f>VLOOKUP(D88,[1]Sheet3!$F:$AM,34,0)</f>
        <v>25</v>
      </c>
      <c r="Y88" s="80">
        <f>VLOOKUP(D88,[1]Sheet3!$F:$AN,35,0)</f>
        <v>0</v>
      </c>
      <c r="Z88" s="80" t="e">
        <f t="shared" si="4"/>
        <v>#REF!</v>
      </c>
    </row>
    <row r="89" spans="1:26">
      <c r="A89" s="99">
        <v>85</v>
      </c>
      <c r="B89" s="99" t="s">
        <v>273</v>
      </c>
      <c r="C89" s="96">
        <v>101966176359</v>
      </c>
      <c r="D89" s="99" t="s">
        <v>333</v>
      </c>
      <c r="E89" s="99" t="s">
        <v>439</v>
      </c>
      <c r="F89" s="99"/>
      <c r="G89" s="99"/>
      <c r="H89" s="99"/>
      <c r="I89" s="99"/>
      <c r="J89" s="99"/>
      <c r="K89" s="99"/>
      <c r="L89" s="99"/>
      <c r="M89" s="99"/>
      <c r="N89" s="99">
        <v>1</v>
      </c>
      <c r="O89" s="99">
        <v>1</v>
      </c>
      <c r="P89" s="99"/>
      <c r="Q89" s="99"/>
      <c r="R89" s="99"/>
      <c r="S89" s="99"/>
      <c r="T89" s="99"/>
      <c r="U89" s="99">
        <f t="shared" si="3"/>
        <v>2</v>
      </c>
      <c r="V89" s="80" t="e">
        <f>VLOOKUP(C89,#REF!,3,0)</f>
        <v>#REF!</v>
      </c>
      <c r="W89" s="80">
        <f>VLOOKUP(D89,[1]Sheet3!$F:$AM,34,0)</f>
        <v>18</v>
      </c>
      <c r="Y89" s="80">
        <f>VLOOKUP(D89,[1]Sheet3!$F:$AN,35,0)</f>
        <v>0</v>
      </c>
      <c r="Z89" s="80" t="e">
        <f t="shared" si="4"/>
        <v>#REF!</v>
      </c>
    </row>
    <row r="90" spans="1:26">
      <c r="A90" s="99">
        <v>86</v>
      </c>
      <c r="B90" s="99" t="s">
        <v>381</v>
      </c>
      <c r="C90" s="96">
        <v>102261619396</v>
      </c>
      <c r="D90" s="99" t="s">
        <v>382</v>
      </c>
      <c r="E90" s="99" t="s">
        <v>439</v>
      </c>
      <c r="F90" s="99"/>
      <c r="G90" s="99">
        <v>1</v>
      </c>
      <c r="H90" s="99">
        <v>1</v>
      </c>
      <c r="I90" s="99">
        <v>1</v>
      </c>
      <c r="J90" s="99"/>
      <c r="K90" s="99"/>
      <c r="L90" s="99">
        <v>1</v>
      </c>
      <c r="M90" s="99">
        <v>1</v>
      </c>
      <c r="N90" s="99">
        <v>2</v>
      </c>
      <c r="O90" s="99">
        <v>1</v>
      </c>
      <c r="P90" s="99">
        <v>1</v>
      </c>
      <c r="Q90" s="99">
        <v>2</v>
      </c>
      <c r="R90" s="99"/>
      <c r="S90" s="99">
        <v>1</v>
      </c>
      <c r="T90" s="99">
        <v>1</v>
      </c>
      <c r="U90" s="99">
        <f t="shared" si="3"/>
        <v>13</v>
      </c>
      <c r="V90" s="80" t="e">
        <f>VLOOKUP(C90,#REF!,3,0)</f>
        <v>#REF!</v>
      </c>
      <c r="W90" s="80">
        <f>VLOOKUP(D90,[1]Sheet3!$F:$AM,34,0)</f>
        <v>26</v>
      </c>
      <c r="Y90" s="80">
        <f>VLOOKUP(D90,[1]Sheet3!$F:$AN,35,0)</f>
        <v>0</v>
      </c>
      <c r="Z90" s="80" t="e">
        <f t="shared" si="4"/>
        <v>#REF!</v>
      </c>
    </row>
    <row r="91" spans="1:26">
      <c r="A91" s="99">
        <v>87</v>
      </c>
      <c r="B91" s="99" t="s">
        <v>369</v>
      </c>
      <c r="C91" s="96">
        <v>102260241245</v>
      </c>
      <c r="D91" s="99" t="s">
        <v>371</v>
      </c>
      <c r="E91" s="99" t="s">
        <v>444</v>
      </c>
      <c r="F91" s="99"/>
      <c r="G91" s="99"/>
      <c r="H91" s="99"/>
      <c r="I91" s="99"/>
      <c r="J91" s="99"/>
      <c r="K91" s="99"/>
      <c r="L91" s="99"/>
      <c r="M91" s="99">
        <v>1</v>
      </c>
      <c r="N91" s="99">
        <v>1</v>
      </c>
      <c r="O91" s="99">
        <v>1</v>
      </c>
      <c r="P91" s="99"/>
      <c r="Q91" s="99">
        <v>1</v>
      </c>
      <c r="R91" s="99"/>
      <c r="S91" s="99">
        <v>1</v>
      </c>
      <c r="T91" s="99">
        <v>1</v>
      </c>
      <c r="U91" s="99">
        <f t="shared" si="3"/>
        <v>6</v>
      </c>
      <c r="V91" s="80" t="e">
        <f>VLOOKUP(C91,#REF!,3,0)</f>
        <v>#REF!</v>
      </c>
      <c r="W91" s="80">
        <f>VLOOKUP(D91,[1]Sheet3!$F:$AM,34,0)</f>
        <v>20</v>
      </c>
      <c r="Y91" s="80">
        <f>VLOOKUP(D91,[1]Sheet3!$F:$AN,35,0)</f>
        <v>0</v>
      </c>
      <c r="Z91" s="80" t="e">
        <f t="shared" si="4"/>
        <v>#REF!</v>
      </c>
    </row>
    <row r="92" spans="1:26">
      <c r="A92" s="99">
        <v>89</v>
      </c>
      <c r="B92" s="99" t="s">
        <v>370</v>
      </c>
      <c r="C92" s="96">
        <v>102259643488</v>
      </c>
      <c r="D92" s="99" t="s">
        <v>384</v>
      </c>
      <c r="E92" s="99" t="s">
        <v>444</v>
      </c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>
        <f t="shared" si="3"/>
        <v>0</v>
      </c>
      <c r="V92" s="80" t="e">
        <f>VLOOKUP(C92,#REF!,3,0)</f>
        <v>#REF!</v>
      </c>
      <c r="W92" s="80">
        <f>VLOOKUP(D92,[1]Sheet3!$F:$AM,34,0)</f>
        <v>0</v>
      </c>
      <c r="Y92" s="80">
        <f>VLOOKUP(D92,[1]Sheet3!$F:$AN,35,0)</f>
        <v>0</v>
      </c>
      <c r="Z92" s="80" t="e">
        <f t="shared" si="4"/>
        <v>#REF!</v>
      </c>
    </row>
    <row r="93" spans="1:26">
      <c r="A93" s="99">
        <v>91</v>
      </c>
      <c r="C93" s="91" t="s">
        <v>399</v>
      </c>
      <c r="D93" s="99" t="s">
        <v>400</v>
      </c>
      <c r="E93" s="99" t="s">
        <v>444</v>
      </c>
      <c r="F93" s="99"/>
      <c r="G93" s="99">
        <v>1</v>
      </c>
      <c r="H93" s="99">
        <v>0.5</v>
      </c>
      <c r="I93" s="99"/>
      <c r="J93" s="99"/>
      <c r="K93" s="99"/>
      <c r="L93" s="99">
        <v>1</v>
      </c>
      <c r="M93" s="99">
        <v>1</v>
      </c>
      <c r="N93" s="99">
        <v>1</v>
      </c>
      <c r="O93" s="99">
        <v>1</v>
      </c>
      <c r="P93" s="99"/>
      <c r="Q93" s="99"/>
      <c r="R93" s="99"/>
      <c r="S93" s="99">
        <v>1</v>
      </c>
      <c r="T93" s="99">
        <v>1</v>
      </c>
      <c r="U93" s="99">
        <f t="shared" si="3"/>
        <v>7.5</v>
      </c>
      <c r="V93" s="80" t="e">
        <f>VLOOKUP(C93,#REF!,3,0)</f>
        <v>#REF!</v>
      </c>
      <c r="W93" s="80">
        <f>VLOOKUP(D93,[1]Sheet3!$F:$AM,34,0)</f>
        <v>15.5</v>
      </c>
      <c r="Y93" s="80">
        <f>VLOOKUP(D93,[1]Sheet3!$F:$AN,35,0)</f>
        <v>0</v>
      </c>
      <c r="Z93" s="80" t="e">
        <f t="shared" si="4"/>
        <v>#REF!</v>
      </c>
    </row>
    <row r="94" spans="1:26">
      <c r="A94" s="99">
        <v>92</v>
      </c>
      <c r="B94" s="99"/>
      <c r="C94" s="91" t="s">
        <v>421</v>
      </c>
      <c r="D94" s="99" t="s">
        <v>426</v>
      </c>
      <c r="E94" s="99" t="s">
        <v>444</v>
      </c>
      <c r="F94" s="99"/>
      <c r="G94" s="99">
        <v>1</v>
      </c>
      <c r="H94" s="99">
        <v>1</v>
      </c>
      <c r="I94" s="99">
        <v>1</v>
      </c>
      <c r="J94" s="99">
        <v>1</v>
      </c>
      <c r="K94" s="99"/>
      <c r="L94" s="99">
        <v>1</v>
      </c>
      <c r="M94" s="99"/>
      <c r="N94" s="99"/>
      <c r="O94" s="99">
        <v>1</v>
      </c>
      <c r="P94" s="99">
        <v>1</v>
      </c>
      <c r="Q94" s="99">
        <v>1</v>
      </c>
      <c r="R94" s="99"/>
      <c r="S94" s="99">
        <v>1</v>
      </c>
      <c r="T94" s="99">
        <v>1</v>
      </c>
      <c r="U94" s="99">
        <f t="shared" si="3"/>
        <v>10</v>
      </c>
      <c r="V94" s="80" t="e">
        <f>VLOOKUP(C94,#REF!,3,0)</f>
        <v>#REF!</v>
      </c>
      <c r="W94" s="80">
        <f>VLOOKUP(D94,[1]Sheet3!$F:$AM,34,0)</f>
        <v>18.5</v>
      </c>
      <c r="Y94" s="80">
        <f>VLOOKUP(D94,[1]Sheet3!$F:$AN,35,0)</f>
        <v>0</v>
      </c>
      <c r="Z94" s="80" t="e">
        <f t="shared" si="4"/>
        <v>#REF!</v>
      </c>
    </row>
    <row r="95" spans="1:26">
      <c r="A95" s="99">
        <v>95</v>
      </c>
      <c r="B95" s="99"/>
      <c r="C95" s="99" t="s">
        <v>422</v>
      </c>
      <c r="D95" s="99" t="s">
        <v>422</v>
      </c>
      <c r="E95" s="99" t="s">
        <v>444</v>
      </c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>
        <f t="shared" si="3"/>
        <v>0</v>
      </c>
      <c r="V95" s="80" t="e">
        <f>VLOOKUP(C95,#REF!,3,0)</f>
        <v>#REF!</v>
      </c>
      <c r="W95" s="80">
        <f>VLOOKUP(D95,[1]Sheet3!$F:$AM,34,0)</f>
        <v>0</v>
      </c>
      <c r="Y95" s="80">
        <f>VLOOKUP(D95,[1]Sheet3!$F:$AN,35,0)</f>
        <v>0</v>
      </c>
      <c r="Z95" s="80" t="e">
        <f t="shared" si="4"/>
        <v>#REF!</v>
      </c>
    </row>
    <row r="96" spans="1:26">
      <c r="A96" s="99">
        <v>96</v>
      </c>
      <c r="B96" s="99"/>
      <c r="C96" s="99" t="s">
        <v>445</v>
      </c>
      <c r="D96" s="99" t="s">
        <v>445</v>
      </c>
      <c r="E96" s="99" t="s">
        <v>444</v>
      </c>
      <c r="F96" s="99"/>
      <c r="G96" s="99"/>
      <c r="H96" s="99">
        <v>2</v>
      </c>
      <c r="I96" s="99">
        <v>1</v>
      </c>
      <c r="J96" s="99">
        <v>1</v>
      </c>
      <c r="K96" s="99"/>
      <c r="L96" s="99">
        <v>2</v>
      </c>
      <c r="M96" s="99">
        <v>1</v>
      </c>
      <c r="N96" s="99"/>
      <c r="O96" s="99">
        <v>1</v>
      </c>
      <c r="P96" s="99">
        <v>1</v>
      </c>
      <c r="Q96" s="99">
        <v>1</v>
      </c>
      <c r="R96" s="99">
        <v>1</v>
      </c>
      <c r="S96" s="99">
        <v>1</v>
      </c>
      <c r="T96" s="99"/>
      <c r="U96" s="99">
        <f t="shared" si="3"/>
        <v>12</v>
      </c>
      <c r="V96" s="80" t="e">
        <f>VLOOKUP(C96,#REF!,3,0)</f>
        <v>#REF!</v>
      </c>
      <c r="W96" s="80">
        <f>VLOOKUP(D96,[1]Sheet3!$F:$AM,34,0)</f>
        <v>22</v>
      </c>
      <c r="Y96" s="80">
        <f>VLOOKUP(D96,[1]Sheet3!$F:$AN,35,0)</f>
        <v>0</v>
      </c>
      <c r="Z96" s="80" t="e">
        <f t="shared" si="4"/>
        <v>#REF!</v>
      </c>
    </row>
    <row r="97" spans="1:26">
      <c r="A97" s="99">
        <v>97</v>
      </c>
      <c r="B97" s="99"/>
      <c r="C97" s="99" t="s">
        <v>446</v>
      </c>
      <c r="D97" s="99" t="s">
        <v>446</v>
      </c>
      <c r="E97" s="99" t="s">
        <v>444</v>
      </c>
      <c r="F97" s="99"/>
      <c r="G97" s="99"/>
      <c r="H97" s="99">
        <v>1</v>
      </c>
      <c r="I97" s="99">
        <v>1</v>
      </c>
      <c r="J97" s="99">
        <v>1</v>
      </c>
      <c r="K97" s="99"/>
      <c r="L97" s="99"/>
      <c r="M97" s="99"/>
      <c r="N97" s="99">
        <v>1</v>
      </c>
      <c r="O97" s="99">
        <v>1</v>
      </c>
      <c r="P97" s="99">
        <v>1</v>
      </c>
      <c r="Q97" s="99">
        <v>1</v>
      </c>
      <c r="R97" s="99"/>
      <c r="S97" s="99"/>
      <c r="T97" s="99">
        <v>1</v>
      </c>
      <c r="U97" s="99">
        <f t="shared" si="3"/>
        <v>8</v>
      </c>
      <c r="V97" s="80" t="e">
        <f>VLOOKUP(C97,#REF!,3,0)</f>
        <v>#REF!</v>
      </c>
      <c r="W97" s="80">
        <f>VLOOKUP(D97,[1]Sheet3!$F:$AM,34,0)</f>
        <v>21</v>
      </c>
      <c r="Y97" s="80">
        <f>VLOOKUP(D97,[1]Sheet3!$F:$AN,35,0)</f>
        <v>0</v>
      </c>
      <c r="Z97" s="80" t="e">
        <f t="shared" si="4"/>
        <v>#REF!</v>
      </c>
    </row>
    <row r="98" spans="1:26">
      <c r="A98" s="99">
        <v>99</v>
      </c>
      <c r="B98" s="99"/>
      <c r="C98" s="99" t="s">
        <v>447</v>
      </c>
      <c r="D98" s="99" t="s">
        <v>468</v>
      </c>
      <c r="E98" s="99" t="s">
        <v>444</v>
      </c>
      <c r="F98" s="99"/>
      <c r="G98" s="99"/>
      <c r="H98" s="99"/>
      <c r="I98" s="99"/>
      <c r="J98" s="99"/>
      <c r="K98" s="99"/>
      <c r="L98" s="99"/>
      <c r="M98" s="99"/>
      <c r="N98" s="99"/>
      <c r="O98" s="99">
        <v>1</v>
      </c>
      <c r="P98" s="99">
        <v>1</v>
      </c>
      <c r="Q98" s="99">
        <v>1</v>
      </c>
      <c r="R98" s="99"/>
      <c r="S98" s="99">
        <v>1</v>
      </c>
      <c r="T98" s="99">
        <v>1</v>
      </c>
      <c r="U98" s="99">
        <f t="shared" si="3"/>
        <v>5</v>
      </c>
      <c r="V98" s="80" t="e">
        <f>VLOOKUP(C98,#REF!,3,0)</f>
        <v>#REF!</v>
      </c>
      <c r="W98" s="80">
        <f>VLOOKUP(D98,[1]Sheet3!$F:$AM,34,0)</f>
        <v>16</v>
      </c>
      <c r="Y98" s="80">
        <f>VLOOKUP(D98,[1]Sheet3!$F:$AN,35,0)</f>
        <v>0</v>
      </c>
      <c r="Z98" s="80" t="e">
        <f t="shared" si="4"/>
        <v>#REF!</v>
      </c>
    </row>
    <row r="99" spans="1:26">
      <c r="A99" s="99">
        <v>100</v>
      </c>
      <c r="B99" s="99"/>
      <c r="C99" s="99" t="s">
        <v>448</v>
      </c>
      <c r="D99" s="99" t="s">
        <v>448</v>
      </c>
      <c r="E99" s="99" t="s">
        <v>444</v>
      </c>
      <c r="F99" s="99"/>
      <c r="G99" s="99"/>
      <c r="H99" s="99"/>
      <c r="I99" s="99"/>
      <c r="J99" s="99"/>
      <c r="K99" s="99"/>
      <c r="L99" s="99"/>
      <c r="M99" s="99"/>
      <c r="N99" s="99"/>
      <c r="O99" s="99">
        <v>1</v>
      </c>
      <c r="P99" s="99">
        <v>1</v>
      </c>
      <c r="Q99" s="99">
        <v>1</v>
      </c>
      <c r="R99" s="99"/>
      <c r="S99" s="99">
        <v>1</v>
      </c>
      <c r="T99" s="99">
        <v>1</v>
      </c>
      <c r="U99" s="99">
        <f t="shared" ref="U99:U115" si="5">SUM(F99:T99)</f>
        <v>5</v>
      </c>
      <c r="V99" s="80" t="e">
        <f>VLOOKUP(C99,#REF!,3,0)</f>
        <v>#REF!</v>
      </c>
      <c r="W99" s="80">
        <f>VLOOKUP(D99,[1]Sheet3!$F:$AM,34,0)</f>
        <v>18</v>
      </c>
      <c r="Y99" s="80">
        <f>VLOOKUP(D99,[1]Sheet3!$F:$AN,35,0)</f>
        <v>0</v>
      </c>
      <c r="Z99" s="80" t="e">
        <f t="shared" si="4"/>
        <v>#REF!</v>
      </c>
    </row>
    <row r="100" spans="1:26">
      <c r="A100" s="99">
        <v>101</v>
      </c>
      <c r="B100" s="99"/>
      <c r="C100" s="99" t="s">
        <v>449</v>
      </c>
      <c r="D100" s="99" t="s">
        <v>449</v>
      </c>
      <c r="E100" s="99" t="s">
        <v>444</v>
      </c>
      <c r="F100" s="99"/>
      <c r="G100" s="99"/>
      <c r="H100" s="99"/>
      <c r="I100" s="99"/>
      <c r="J100" s="99"/>
      <c r="K100" s="99"/>
      <c r="L100" s="99"/>
      <c r="M100" s="99"/>
      <c r="N100" s="99"/>
      <c r="O100" s="99">
        <v>1</v>
      </c>
      <c r="P100" s="99"/>
      <c r="Q100" s="99"/>
      <c r="R100" s="99"/>
      <c r="S100" s="99"/>
      <c r="T100" s="99"/>
      <c r="U100" s="99">
        <f t="shared" si="5"/>
        <v>1</v>
      </c>
      <c r="V100" s="80" t="e">
        <f>VLOOKUP(C100,#REF!,3,0)</f>
        <v>#REF!</v>
      </c>
      <c r="W100" s="80">
        <f>VLOOKUP(D100,[1]Sheet3!$F:$AM,34,0)</f>
        <v>2</v>
      </c>
      <c r="Y100" s="80">
        <f>VLOOKUP(D100,[1]Sheet3!$F:$AN,35,0)</f>
        <v>0</v>
      </c>
      <c r="Z100" s="80" t="e">
        <f t="shared" si="4"/>
        <v>#REF!</v>
      </c>
    </row>
    <row r="101" spans="1:26">
      <c r="A101" s="99">
        <v>102</v>
      </c>
      <c r="B101" s="99"/>
      <c r="C101" s="99" t="s">
        <v>450</v>
      </c>
      <c r="D101" s="99" t="s">
        <v>450</v>
      </c>
      <c r="E101" s="99" t="s">
        <v>444</v>
      </c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>
        <v>1</v>
      </c>
      <c r="T101" s="99">
        <v>1</v>
      </c>
      <c r="U101" s="99">
        <f t="shared" si="5"/>
        <v>2</v>
      </c>
      <c r="V101" s="80" t="e">
        <f>VLOOKUP(C101,#REF!,3,0)</f>
        <v>#REF!</v>
      </c>
      <c r="W101" s="80">
        <f>VLOOKUP(D101,[1]Sheet3!$F:$AM,34,0)</f>
        <v>11</v>
      </c>
      <c r="Y101" s="80">
        <f>VLOOKUP(D101,[1]Sheet3!$F:$AN,35,0)</f>
        <v>0</v>
      </c>
      <c r="Z101" s="80" t="e">
        <f t="shared" si="4"/>
        <v>#REF!</v>
      </c>
    </row>
    <row r="102" spans="1:26">
      <c r="A102" s="99">
        <v>103</v>
      </c>
      <c r="B102" s="99"/>
      <c r="C102" s="99" t="s">
        <v>451</v>
      </c>
      <c r="D102" s="99" t="s">
        <v>451</v>
      </c>
      <c r="E102" s="99" t="s">
        <v>444</v>
      </c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>
        <v>1</v>
      </c>
      <c r="T102" s="99">
        <v>1</v>
      </c>
      <c r="U102" s="99">
        <f t="shared" si="5"/>
        <v>2</v>
      </c>
      <c r="V102" s="80" t="e">
        <f>VLOOKUP(C102,#REF!,3,0)</f>
        <v>#REF!</v>
      </c>
      <c r="W102" s="80">
        <f>VLOOKUP(D102,[1]Sheet3!$F:$AM,34,0)</f>
        <v>4</v>
      </c>
      <c r="Y102" s="80">
        <f>VLOOKUP(D102,[1]Sheet3!$F:$AN,35,0)</f>
        <v>0</v>
      </c>
      <c r="Z102" s="80" t="e">
        <f t="shared" si="4"/>
        <v>#REF!</v>
      </c>
    </row>
    <row r="103" spans="1:26">
      <c r="A103" s="99">
        <v>104</v>
      </c>
      <c r="B103" s="99"/>
      <c r="C103" s="99" t="s">
        <v>452</v>
      </c>
      <c r="D103" s="99" t="s">
        <v>452</v>
      </c>
      <c r="E103" s="99" t="s">
        <v>444</v>
      </c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>
        <v>1</v>
      </c>
      <c r="T103" s="99">
        <v>1</v>
      </c>
      <c r="U103" s="99">
        <f t="shared" si="5"/>
        <v>2</v>
      </c>
      <c r="V103" s="80" t="e">
        <f>VLOOKUP(C103,#REF!,3,0)</f>
        <v>#REF!</v>
      </c>
      <c r="W103" s="80">
        <f>VLOOKUP(D103,[1]Sheet3!$F:$AM,34,0)</f>
        <v>14</v>
      </c>
      <c r="Y103" s="80">
        <f>VLOOKUP(D103,[1]Sheet3!$F:$AN,35,0)</f>
        <v>0</v>
      </c>
      <c r="Z103" s="80" t="e">
        <f t="shared" si="4"/>
        <v>#REF!</v>
      </c>
    </row>
    <row r="104" spans="1:26">
      <c r="A104" s="99">
        <v>105</v>
      </c>
      <c r="B104" s="99"/>
      <c r="C104" s="99" t="s">
        <v>453</v>
      </c>
      <c r="D104" s="99" t="s">
        <v>453</v>
      </c>
      <c r="E104" s="99" t="s">
        <v>444</v>
      </c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>
        <v>1</v>
      </c>
      <c r="U104" s="99">
        <f t="shared" si="5"/>
        <v>1</v>
      </c>
      <c r="V104" s="80" t="e">
        <f>VLOOKUP(C104,#REF!,3,0)</f>
        <v>#REF!</v>
      </c>
      <c r="W104" s="80">
        <f>VLOOKUP(D104,[1]Sheet3!$F:$AM,34,0)</f>
        <v>10.5</v>
      </c>
      <c r="Y104" s="80">
        <f>VLOOKUP(D104,[1]Sheet3!$F:$AN,35,0)</f>
        <v>0</v>
      </c>
      <c r="Z104" s="80" t="e">
        <f t="shared" si="4"/>
        <v>#REF!</v>
      </c>
    </row>
    <row r="105" spans="1:26">
      <c r="A105" s="99">
        <v>1</v>
      </c>
      <c r="B105" s="99"/>
      <c r="C105" s="99" t="s">
        <v>454</v>
      </c>
      <c r="D105" s="99" t="s">
        <v>454</v>
      </c>
      <c r="E105" s="99" t="s">
        <v>444</v>
      </c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>
        <v>1</v>
      </c>
      <c r="T105" s="99">
        <v>1</v>
      </c>
      <c r="U105" s="99">
        <f t="shared" si="5"/>
        <v>2</v>
      </c>
      <c r="V105" s="80" t="e">
        <f>VLOOKUP(C105,#REF!,3,0)</f>
        <v>#REF!</v>
      </c>
      <c r="W105" s="80">
        <f>VLOOKUP(D105,[1]Sheet3!$F:$AM,34,0)</f>
        <v>15</v>
      </c>
      <c r="Y105" s="80">
        <f>VLOOKUP(D105,[1]Sheet3!$F:$AN,35,0)</f>
        <v>0</v>
      </c>
      <c r="Z105" s="80" t="e">
        <f t="shared" si="4"/>
        <v>#REF!</v>
      </c>
    </row>
    <row r="106" spans="1:26">
      <c r="A106" s="99">
        <v>2</v>
      </c>
      <c r="B106" s="99"/>
      <c r="C106" s="99" t="s">
        <v>455</v>
      </c>
      <c r="D106" s="99" t="s">
        <v>455</v>
      </c>
      <c r="E106" s="99" t="s">
        <v>444</v>
      </c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>
        <v>1</v>
      </c>
      <c r="U106" s="99">
        <f t="shared" si="5"/>
        <v>1</v>
      </c>
      <c r="V106" s="80" t="e">
        <f>VLOOKUP(C106,#REF!,3,0)</f>
        <v>#REF!</v>
      </c>
      <c r="W106" s="80">
        <f>VLOOKUP(D106,[1]Sheet3!$F:$AM,34,0)</f>
        <v>15</v>
      </c>
      <c r="Y106" s="80">
        <f>VLOOKUP(D106,[1]Sheet3!$F:$AN,35,0)</f>
        <v>0</v>
      </c>
      <c r="Z106" s="80" t="e">
        <f t="shared" si="4"/>
        <v>#REF!</v>
      </c>
    </row>
    <row r="107" spans="1:26">
      <c r="A107" s="99">
        <v>3</v>
      </c>
      <c r="B107" s="99" t="s">
        <v>236</v>
      </c>
      <c r="C107" s="96">
        <v>102062806876</v>
      </c>
      <c r="D107" s="99" t="s">
        <v>310</v>
      </c>
      <c r="E107" s="99" t="s">
        <v>456</v>
      </c>
      <c r="F107" s="99"/>
      <c r="G107" s="99"/>
      <c r="H107" s="99">
        <v>1</v>
      </c>
      <c r="I107" s="99">
        <v>1</v>
      </c>
      <c r="J107" s="99">
        <v>1</v>
      </c>
      <c r="K107" s="99"/>
      <c r="L107" s="99">
        <v>1</v>
      </c>
      <c r="M107" s="99">
        <v>2</v>
      </c>
      <c r="N107" s="99">
        <v>1.5</v>
      </c>
      <c r="O107" s="99"/>
      <c r="P107" s="99"/>
      <c r="Q107" s="99">
        <v>1</v>
      </c>
      <c r="R107" s="99"/>
      <c r="S107" s="99">
        <v>1</v>
      </c>
      <c r="T107" s="99">
        <v>1</v>
      </c>
      <c r="U107" s="99">
        <f t="shared" si="5"/>
        <v>10.5</v>
      </c>
      <c r="V107" s="80" t="e">
        <f>VLOOKUP(C107,#REF!,3,0)</f>
        <v>#REF!</v>
      </c>
      <c r="W107" s="80">
        <f>VLOOKUP(D107,[1]Sheet3!$F:$AM,34,0)</f>
        <v>22.5</v>
      </c>
      <c r="Y107" s="80">
        <f>VLOOKUP(D107,[1]Sheet3!$F:$AN,35,0)</f>
        <v>0</v>
      </c>
      <c r="Z107" s="80" t="e">
        <f t="shared" si="4"/>
        <v>#REF!</v>
      </c>
    </row>
    <row r="108" spans="1:26">
      <c r="A108" s="99">
        <v>4</v>
      </c>
      <c r="B108" s="99"/>
      <c r="C108" s="96">
        <v>102146549923</v>
      </c>
      <c r="D108" s="99" t="s">
        <v>389</v>
      </c>
      <c r="E108" s="99" t="s">
        <v>456</v>
      </c>
      <c r="F108" s="99"/>
      <c r="G108" s="99">
        <v>1</v>
      </c>
      <c r="H108" s="99">
        <v>1</v>
      </c>
      <c r="I108" s="99">
        <v>1</v>
      </c>
      <c r="J108" s="99">
        <v>1</v>
      </c>
      <c r="K108" s="99"/>
      <c r="L108" s="99">
        <v>1</v>
      </c>
      <c r="M108" s="99">
        <v>1</v>
      </c>
      <c r="N108" s="99">
        <v>1</v>
      </c>
      <c r="O108" s="99">
        <v>1</v>
      </c>
      <c r="P108" s="99">
        <v>1</v>
      </c>
      <c r="Q108" s="99">
        <v>1</v>
      </c>
      <c r="R108" s="99"/>
      <c r="S108" s="99">
        <v>1</v>
      </c>
      <c r="T108" s="99"/>
      <c r="U108" s="99">
        <f t="shared" si="5"/>
        <v>11</v>
      </c>
      <c r="V108" s="80" t="e">
        <f>VLOOKUP(C108,#REF!,3,0)</f>
        <v>#REF!</v>
      </c>
      <c r="W108" s="80">
        <f>VLOOKUP(D108,[1]Sheet3!$F:$AM,34,0)</f>
        <v>25</v>
      </c>
      <c r="Y108" s="80">
        <f>VLOOKUP(D108,[1]Sheet3!$F:$AN,35,0)</f>
        <v>0</v>
      </c>
      <c r="Z108" s="80" t="e">
        <f t="shared" si="4"/>
        <v>#REF!</v>
      </c>
    </row>
    <row r="109" spans="1:26">
      <c r="A109" s="99">
        <v>4</v>
      </c>
      <c r="B109" s="99"/>
      <c r="C109" s="96">
        <v>102146553230</v>
      </c>
      <c r="D109" s="99" t="s">
        <v>390</v>
      </c>
      <c r="E109" s="99" t="s">
        <v>456</v>
      </c>
      <c r="F109" s="99"/>
      <c r="G109" s="99">
        <v>1</v>
      </c>
      <c r="H109" s="99">
        <v>1</v>
      </c>
      <c r="I109" s="99">
        <v>1</v>
      </c>
      <c r="J109" s="99">
        <v>1</v>
      </c>
      <c r="K109" s="99"/>
      <c r="L109" s="99">
        <v>2</v>
      </c>
      <c r="M109" s="99"/>
      <c r="N109" s="99">
        <v>1</v>
      </c>
      <c r="O109" s="99">
        <v>1</v>
      </c>
      <c r="P109" s="99">
        <v>1</v>
      </c>
      <c r="Q109" s="99">
        <v>1</v>
      </c>
      <c r="R109" s="99"/>
      <c r="S109" s="99">
        <v>1</v>
      </c>
      <c r="T109" s="99">
        <v>1</v>
      </c>
      <c r="U109" s="99">
        <f t="shared" si="5"/>
        <v>12</v>
      </c>
      <c r="V109" s="80" t="e">
        <f>VLOOKUP(C109,#REF!,3,0)</f>
        <v>#REF!</v>
      </c>
      <c r="W109" s="80">
        <f>VLOOKUP(D109,[1]Sheet3!$F:$AM,34,0)</f>
        <v>25</v>
      </c>
      <c r="Y109" s="80">
        <f>VLOOKUP(D109,[1]Sheet3!$F:$AN,35,0)</f>
        <v>0</v>
      </c>
      <c r="Z109" s="80" t="e">
        <f t="shared" si="4"/>
        <v>#REF!</v>
      </c>
    </row>
    <row r="110" spans="1:26">
      <c r="A110" s="99">
        <v>5</v>
      </c>
      <c r="B110" s="99">
        <v>0</v>
      </c>
      <c r="C110" s="96">
        <v>101541847309</v>
      </c>
      <c r="D110" s="99" t="s">
        <v>167</v>
      </c>
      <c r="E110" s="99" t="s">
        <v>438</v>
      </c>
      <c r="F110" s="99"/>
      <c r="G110" s="99">
        <v>1</v>
      </c>
      <c r="H110" s="99">
        <v>1</v>
      </c>
      <c r="I110" s="99">
        <v>1</v>
      </c>
      <c r="J110" s="99">
        <v>1</v>
      </c>
      <c r="K110" s="99"/>
      <c r="L110" s="99">
        <v>1</v>
      </c>
      <c r="M110" s="99">
        <v>1</v>
      </c>
      <c r="N110" s="99">
        <v>1</v>
      </c>
      <c r="O110" s="99">
        <v>1</v>
      </c>
      <c r="P110" s="99">
        <v>1</v>
      </c>
      <c r="Q110" s="99">
        <v>1</v>
      </c>
      <c r="R110" s="99">
        <v>1</v>
      </c>
      <c r="S110" s="99">
        <v>1</v>
      </c>
      <c r="T110" s="99">
        <v>1</v>
      </c>
      <c r="U110" s="99">
        <f t="shared" si="5"/>
        <v>13</v>
      </c>
      <c r="V110" s="80" t="e">
        <f>VLOOKUP(C110,#REF!,3,0)</f>
        <v>#REF!</v>
      </c>
      <c r="W110" s="80">
        <f>VLOOKUP(D110,[1]Sheet3!$F:$AM,34,0)</f>
        <v>29</v>
      </c>
      <c r="Y110" s="80">
        <f>VLOOKUP(D110,[1]Sheet3!$F:$AN,35,0)</f>
        <v>2500</v>
      </c>
      <c r="Z110" s="80" t="e">
        <f t="shared" si="4"/>
        <v>#REF!</v>
      </c>
    </row>
    <row r="111" spans="1:26">
      <c r="A111" s="99">
        <v>6</v>
      </c>
      <c r="B111" s="99" t="s">
        <v>247</v>
      </c>
      <c r="C111" s="96">
        <v>102056969235</v>
      </c>
      <c r="D111" s="99" t="s">
        <v>337</v>
      </c>
      <c r="E111" s="99" t="s">
        <v>438</v>
      </c>
      <c r="F111" s="99"/>
      <c r="G111" s="99">
        <v>1</v>
      </c>
      <c r="H111" s="99">
        <v>1</v>
      </c>
      <c r="I111" s="99"/>
      <c r="J111" s="99">
        <v>1</v>
      </c>
      <c r="K111" s="99"/>
      <c r="L111" s="99">
        <v>1</v>
      </c>
      <c r="M111" s="99">
        <v>0.5</v>
      </c>
      <c r="N111" s="99">
        <v>1</v>
      </c>
      <c r="O111" s="99">
        <v>1</v>
      </c>
      <c r="P111" s="99">
        <v>1</v>
      </c>
      <c r="Q111" s="99">
        <v>1</v>
      </c>
      <c r="R111" s="99"/>
      <c r="S111" s="99">
        <v>1</v>
      </c>
      <c r="T111" s="99">
        <v>1</v>
      </c>
      <c r="U111" s="99">
        <f t="shared" si="5"/>
        <v>10.5</v>
      </c>
      <c r="V111" s="80" t="e">
        <f>VLOOKUP(C111,#REF!,3,0)</f>
        <v>#REF!</v>
      </c>
      <c r="W111" s="80">
        <f>VLOOKUP(D111,[1]Sheet3!$F:$AM,34,0)</f>
        <v>26</v>
      </c>
      <c r="Y111" s="80">
        <f>VLOOKUP(D111,[1]Sheet3!$F:$AN,35,0)</f>
        <v>500</v>
      </c>
      <c r="Z111" s="80" t="e">
        <f t="shared" si="4"/>
        <v>#REF!</v>
      </c>
    </row>
    <row r="112" spans="1:26">
      <c r="A112" s="99"/>
      <c r="B112" s="99" t="s">
        <v>360</v>
      </c>
      <c r="C112" s="96">
        <v>102219962850</v>
      </c>
      <c r="D112" s="99" t="s">
        <v>361</v>
      </c>
      <c r="E112" s="99" t="s">
        <v>438</v>
      </c>
      <c r="F112" s="99"/>
      <c r="G112" s="99">
        <v>1</v>
      </c>
      <c r="H112" s="99"/>
      <c r="I112" s="99">
        <v>1</v>
      </c>
      <c r="J112" s="99">
        <v>1</v>
      </c>
      <c r="K112" s="99"/>
      <c r="L112" s="99">
        <v>1</v>
      </c>
      <c r="M112" s="99">
        <v>1</v>
      </c>
      <c r="N112" s="99">
        <v>1</v>
      </c>
      <c r="O112" s="99">
        <v>1</v>
      </c>
      <c r="P112" s="99">
        <v>0.5</v>
      </c>
      <c r="Q112" s="99">
        <v>1</v>
      </c>
      <c r="R112" s="99"/>
      <c r="S112" s="99">
        <v>1</v>
      </c>
      <c r="T112" s="99">
        <v>1</v>
      </c>
      <c r="U112" s="99">
        <f t="shared" si="5"/>
        <v>10.5</v>
      </c>
      <c r="V112" s="80" t="e">
        <f>VLOOKUP(C112,#REF!,3,0)</f>
        <v>#REF!</v>
      </c>
      <c r="W112" s="80">
        <f>VLOOKUP(D112,[1]Sheet3!$F:$AM,34,0)</f>
        <v>25.5</v>
      </c>
      <c r="Y112" s="80">
        <f>VLOOKUP(D112,[1]Sheet3!$F:$AN,35,0)</f>
        <v>500</v>
      </c>
      <c r="Z112" s="80" t="e">
        <f>Y112=V112</f>
        <v>#REF!</v>
      </c>
    </row>
    <row r="113" spans="1:26">
      <c r="A113" s="99"/>
      <c r="B113" s="99"/>
      <c r="C113" s="99" t="s">
        <v>457</v>
      </c>
      <c r="D113" s="99" t="s">
        <v>457</v>
      </c>
      <c r="E113" s="99" t="s">
        <v>438</v>
      </c>
      <c r="F113" s="99"/>
      <c r="G113" s="99"/>
      <c r="H113" s="99">
        <v>1</v>
      </c>
      <c r="I113" s="99">
        <v>1</v>
      </c>
      <c r="J113" s="99">
        <v>1</v>
      </c>
      <c r="K113" s="99"/>
      <c r="L113" s="99">
        <v>1</v>
      </c>
      <c r="M113" s="99">
        <v>1</v>
      </c>
      <c r="N113" s="99">
        <v>1</v>
      </c>
      <c r="O113" s="99">
        <v>1</v>
      </c>
      <c r="P113" s="99">
        <v>1</v>
      </c>
      <c r="Q113" s="99">
        <v>1</v>
      </c>
      <c r="R113" s="99"/>
      <c r="S113" s="99">
        <v>1</v>
      </c>
      <c r="T113" s="99"/>
      <c r="U113" s="99">
        <f t="shared" si="5"/>
        <v>10</v>
      </c>
      <c r="V113" s="80" t="e">
        <f>VLOOKUP(C113,#REF!,3,0)</f>
        <v>#REF!</v>
      </c>
      <c r="W113" s="80">
        <f>VLOOKUP(D113,[1]Sheet3!$F:$AM,34,0)</f>
        <v>21</v>
      </c>
      <c r="Y113" s="80">
        <f>VLOOKUP(D113,[1]Sheet3!$F:$AN,35,0)</f>
        <v>0</v>
      </c>
      <c r="Z113" s="80" t="e">
        <f>Y113=V113</f>
        <v>#REF!</v>
      </c>
    </row>
    <row r="114" spans="1:26">
      <c r="A114" s="99"/>
      <c r="B114" s="99"/>
      <c r="C114" s="99" t="s">
        <v>458</v>
      </c>
      <c r="D114" s="99" t="s">
        <v>458</v>
      </c>
      <c r="E114" s="99" t="s">
        <v>438</v>
      </c>
      <c r="F114" s="99"/>
      <c r="G114" s="99"/>
      <c r="H114" s="99">
        <v>1</v>
      </c>
      <c r="I114" s="99">
        <v>1</v>
      </c>
      <c r="J114" s="99">
        <v>1</v>
      </c>
      <c r="K114" s="99"/>
      <c r="L114" s="99">
        <v>1</v>
      </c>
      <c r="M114" s="99">
        <v>1</v>
      </c>
      <c r="N114" s="99">
        <v>1</v>
      </c>
      <c r="O114" s="99">
        <v>1</v>
      </c>
      <c r="P114" s="99">
        <v>1</v>
      </c>
      <c r="Q114" s="99">
        <v>1</v>
      </c>
      <c r="R114" s="99"/>
      <c r="S114" s="99">
        <v>1</v>
      </c>
      <c r="T114" s="99">
        <v>1</v>
      </c>
      <c r="U114" s="99">
        <f t="shared" si="5"/>
        <v>11</v>
      </c>
      <c r="V114" s="80" t="e">
        <f>VLOOKUP(C114,#REF!,3,0)</f>
        <v>#REF!</v>
      </c>
      <c r="W114" s="80">
        <f>VLOOKUP(D114,[1]Sheet3!$F:$AM,34,0)</f>
        <v>23.5</v>
      </c>
      <c r="Y114" s="80">
        <f>VLOOKUP(D114,[1]Sheet3!$F:$AN,35,0)</f>
        <v>0</v>
      </c>
      <c r="Z114" s="80" t="e">
        <f>Y114=V114</f>
        <v>#REF!</v>
      </c>
    </row>
    <row r="115" spans="1:26">
      <c r="A115" s="99"/>
      <c r="B115" s="99"/>
      <c r="C115" s="99" t="s">
        <v>459</v>
      </c>
      <c r="D115" s="99" t="s">
        <v>459</v>
      </c>
      <c r="E115" s="99" t="s">
        <v>438</v>
      </c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>
        <v>1</v>
      </c>
      <c r="U115" s="99">
        <f t="shared" si="5"/>
        <v>1</v>
      </c>
      <c r="V115" s="80" t="e">
        <f>VLOOKUP(C115,#REF!,3,0)</f>
        <v>#REF!</v>
      </c>
      <c r="W115" s="80">
        <f>VLOOKUP(D115,[1]Sheet3!$F:$AM,34,0)</f>
        <v>4</v>
      </c>
      <c r="Y115" s="80">
        <f>VLOOKUP(D115,[1]Sheet3!$F:$AN,35,0)</f>
        <v>0</v>
      </c>
      <c r="Z115" s="80" t="e">
        <f>Y115=V115</f>
        <v>#REF!</v>
      </c>
    </row>
    <row r="116" spans="1:26">
      <c r="F116" s="80">
        <f t="shared" ref="F116:T116" si="6">SUM(F3:F115)</f>
        <v>7</v>
      </c>
      <c r="G116" s="80">
        <f t="shared" si="6"/>
        <v>68.5</v>
      </c>
      <c r="H116" s="80">
        <f t="shared" si="6"/>
        <v>75</v>
      </c>
      <c r="I116" s="80">
        <f t="shared" si="6"/>
        <v>85</v>
      </c>
      <c r="J116" s="80">
        <f t="shared" si="6"/>
        <v>85</v>
      </c>
      <c r="K116" s="80">
        <f t="shared" si="6"/>
        <v>18</v>
      </c>
      <c r="L116" s="80">
        <f t="shared" si="6"/>
        <v>81</v>
      </c>
      <c r="M116" s="80">
        <f t="shared" si="6"/>
        <v>75.5</v>
      </c>
      <c r="N116" s="80">
        <f t="shared" si="6"/>
        <v>77.5</v>
      </c>
      <c r="O116" s="80">
        <f t="shared" si="6"/>
        <v>81</v>
      </c>
      <c r="P116" s="80">
        <f t="shared" si="6"/>
        <v>81.5</v>
      </c>
      <c r="Q116" s="80">
        <f t="shared" si="6"/>
        <v>83</v>
      </c>
      <c r="R116" s="80">
        <f t="shared" si="6"/>
        <v>13</v>
      </c>
      <c r="S116" s="80">
        <f t="shared" si="6"/>
        <v>77.5</v>
      </c>
      <c r="T116" s="80">
        <f t="shared" si="6"/>
        <v>82</v>
      </c>
      <c r="U116" s="80">
        <f>SUM(U3:U115)</f>
        <v>990.5</v>
      </c>
      <c r="W116" s="80">
        <f>SUM(W3:W115)</f>
        <v>2242</v>
      </c>
    </row>
  </sheetData>
  <autoFilter ref="A1:Z116" xr:uid="{00000000-0009-0000-0000-000004000000}"/>
  <conditionalFormatting sqref="B1:B1048576">
    <cfRule type="duplicateValues" dxfId="89" priority="42"/>
  </conditionalFormatting>
  <conditionalFormatting sqref="C9">
    <cfRule type="duplicateValues" dxfId="88" priority="4"/>
  </conditionalFormatting>
  <conditionalFormatting sqref="C10">
    <cfRule type="duplicateValues" dxfId="87" priority="5"/>
  </conditionalFormatting>
  <conditionalFormatting sqref="C14">
    <cfRule type="duplicateValues" dxfId="86" priority="6"/>
    <cfRule type="duplicateValues" dxfId="85" priority="11"/>
    <cfRule type="duplicateValues" dxfId="84" priority="7"/>
    <cfRule type="duplicateValues" dxfId="83" priority="8"/>
    <cfRule type="duplicateValues" dxfId="82" priority="9"/>
    <cfRule type="duplicateValues" dxfId="81" priority="10"/>
    <cfRule type="duplicateValues" dxfId="80" priority="12"/>
    <cfRule type="duplicateValues" dxfId="79" priority="13"/>
  </conditionalFormatting>
  <conditionalFormatting sqref="C16">
    <cfRule type="duplicateValues" dxfId="78" priority="20"/>
    <cfRule type="duplicateValues" dxfId="77" priority="21"/>
    <cfRule type="duplicateValues" dxfId="76" priority="14"/>
    <cfRule type="duplicateValues" dxfId="75" priority="15"/>
    <cfRule type="duplicateValues" dxfId="74" priority="16"/>
    <cfRule type="duplicateValues" dxfId="73" priority="17"/>
    <cfRule type="duplicateValues" dxfId="72" priority="18"/>
    <cfRule type="duplicateValues" dxfId="71" priority="19"/>
  </conditionalFormatting>
  <conditionalFormatting sqref="C17">
    <cfRule type="duplicateValues" dxfId="70" priority="22"/>
  </conditionalFormatting>
  <conditionalFormatting sqref="C18">
    <cfRule type="duplicateValues" dxfId="69" priority="24"/>
    <cfRule type="duplicateValues" dxfId="68" priority="25"/>
    <cfRule type="duplicateValues" dxfId="67" priority="26"/>
    <cfRule type="duplicateValues" dxfId="66" priority="27"/>
    <cfRule type="duplicateValues" dxfId="65" priority="28"/>
    <cfRule type="duplicateValues" dxfId="64" priority="29"/>
    <cfRule type="duplicateValues" dxfId="63" priority="30"/>
    <cfRule type="duplicateValues" dxfId="62" priority="31"/>
  </conditionalFormatting>
  <conditionalFormatting sqref="C33">
    <cfRule type="duplicateValues" dxfId="61" priority="23"/>
  </conditionalFormatting>
  <conditionalFormatting sqref="C40">
    <cfRule type="duplicateValues" dxfId="60" priority="33"/>
  </conditionalFormatting>
  <conditionalFormatting sqref="C41">
    <cfRule type="duplicateValues" dxfId="59" priority="32"/>
  </conditionalFormatting>
  <conditionalFormatting sqref="C46">
    <cfRule type="duplicateValues" dxfId="58" priority="34"/>
    <cfRule type="duplicateValues" dxfId="57" priority="35"/>
  </conditionalFormatting>
  <conditionalFormatting sqref="C52">
    <cfRule type="duplicateValues" dxfId="56" priority="36"/>
  </conditionalFormatting>
  <conditionalFormatting sqref="C63">
    <cfRule type="duplicateValues" dxfId="55" priority="1"/>
  </conditionalFormatting>
  <conditionalFormatting sqref="C81">
    <cfRule type="duplicateValues" dxfId="54" priority="38"/>
    <cfRule type="duplicateValues" dxfId="53" priority="39"/>
    <cfRule type="duplicateValues" dxfId="52" priority="40"/>
    <cfRule type="duplicateValues" dxfId="51" priority="41"/>
    <cfRule type="duplicateValues" dxfId="50" priority="37"/>
  </conditionalFormatting>
  <conditionalFormatting sqref="C93">
    <cfRule type="duplicateValues" dxfId="49" priority="3"/>
  </conditionalFormatting>
  <conditionalFormatting sqref="C94">
    <cfRule type="duplicateValues" dxfId="48" priority="2"/>
  </conditionalFormatting>
  <printOptions horizontalCentered="1"/>
  <pageMargins left="0.15748031496062992" right="0.11811023622047245" top="0.23622047244094491" bottom="0.19685039370078741" header="0.19685039370078741" footer="0.19685039370078741"/>
  <pageSetup paperSize="9" scale="69" fitToWidth="2" fitToHeight="2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AT136"/>
  <sheetViews>
    <sheetView tabSelected="1" zoomScale="90" zoomScaleNormal="90" workbookViewId="0">
      <pane xSplit="4" ySplit="11" topLeftCell="E12" activePane="bottomRight" state="frozen"/>
      <selection pane="topRight" activeCell="E1" sqref="E1"/>
      <selection pane="bottomLeft" activeCell="A12" sqref="A12"/>
      <selection pane="bottomRight" activeCell="AT11" sqref="AT11"/>
    </sheetView>
  </sheetViews>
  <sheetFormatPr defaultColWidth="10.6640625" defaultRowHeight="13.8"/>
  <cols>
    <col min="1" max="1" width="7.109375" style="42" customWidth="1"/>
    <col min="2" max="2" width="15.6640625" style="65" bestFit="1" customWidth="1"/>
    <col min="3" max="3" width="20.77734375" style="42" bestFit="1" customWidth="1"/>
    <col min="4" max="4" width="48" style="42" customWidth="1"/>
    <col min="5" max="5" width="7.44140625" style="42" customWidth="1"/>
    <col min="6" max="6" width="10.109375" style="54" bestFit="1" customWidth="1"/>
    <col min="7" max="7" width="9.109375" style="54" bestFit="1" customWidth="1"/>
    <col min="8" max="8" width="8" style="54" customWidth="1"/>
    <col min="9" max="9" width="10.6640625" style="54" customWidth="1"/>
    <col min="10" max="10" width="9.77734375" style="42" customWidth="1"/>
    <col min="11" max="11" width="10" style="42" customWidth="1"/>
    <col min="12" max="12" width="12.44140625" style="59" customWidth="1"/>
    <col min="13" max="13" width="9.6640625" style="60" customWidth="1"/>
    <col min="14" max="14" width="7" style="61" customWidth="1"/>
    <col min="15" max="15" width="10.33203125" style="60" customWidth="1"/>
    <col min="16" max="16" width="9.6640625" style="60" customWidth="1"/>
    <col min="17" max="17" width="12.109375" style="54" customWidth="1"/>
    <col min="18" max="24" width="9.6640625" style="54" customWidth="1"/>
    <col min="25" max="25" width="9.6640625" style="62" customWidth="1"/>
    <col min="26" max="26" width="9.6640625" style="63" customWidth="1"/>
    <col min="27" max="27" width="7" style="64" customWidth="1"/>
    <col min="28" max="28" width="10" style="63" customWidth="1"/>
    <col min="29" max="29" width="9.33203125" style="42" customWidth="1"/>
    <col min="30" max="30" width="10.6640625" style="42" customWidth="1"/>
    <col min="31" max="31" width="36" style="42" customWidth="1"/>
    <col min="32" max="33" width="9.33203125" style="42" customWidth="1"/>
    <col min="34" max="34" width="10.6640625" style="42"/>
    <col min="35" max="35" width="45.77734375" style="42" bestFit="1" customWidth="1"/>
    <col min="36" max="40" width="10.6640625" style="42"/>
    <col min="41" max="41" width="13.109375" style="42" bestFit="1" customWidth="1"/>
    <col min="42" max="16384" width="10.6640625" style="42"/>
  </cols>
  <sheetData>
    <row r="1" spans="1:46" s="11" customFormat="1">
      <c r="B1" s="65"/>
      <c r="L1" s="13"/>
      <c r="Q1" s="14"/>
      <c r="R1" s="14"/>
      <c r="S1" s="14"/>
      <c r="T1" s="14"/>
      <c r="U1" s="14"/>
      <c r="V1" s="14"/>
      <c r="W1" s="14"/>
      <c r="X1" s="14"/>
      <c r="Y1" s="15"/>
      <c r="Z1" s="16"/>
      <c r="AA1" s="12"/>
      <c r="AB1" s="16"/>
    </row>
    <row r="2" spans="1:46" s="11" customFormat="1">
      <c r="A2" s="11" t="s">
        <v>58</v>
      </c>
      <c r="B2" s="65"/>
      <c r="L2" s="13"/>
      <c r="Q2" s="14"/>
      <c r="R2" s="14"/>
      <c r="S2" s="14"/>
      <c r="T2" s="14"/>
      <c r="U2" s="14"/>
      <c r="V2" s="14"/>
      <c r="W2" s="14"/>
      <c r="X2" s="14"/>
      <c r="Y2" s="15"/>
      <c r="Z2" s="16"/>
      <c r="AA2" s="12"/>
      <c r="AB2" s="16"/>
    </row>
    <row r="3" spans="1:46" s="11" customFormat="1" ht="32.4">
      <c r="A3" s="17"/>
      <c r="B3" s="66"/>
      <c r="C3" s="34"/>
      <c r="D3" s="14">
        <f>16+11</f>
        <v>27</v>
      </c>
      <c r="E3" s="14"/>
      <c r="F3" s="17"/>
      <c r="G3" s="17"/>
      <c r="H3" s="17"/>
      <c r="I3" s="17"/>
      <c r="J3" s="17"/>
      <c r="K3" s="17"/>
      <c r="L3" s="18"/>
      <c r="M3" s="19">
        <f>14010+1736</f>
        <v>15746</v>
      </c>
      <c r="N3" s="20">
        <f>+M3*5%</f>
        <v>787.30000000000007</v>
      </c>
      <c r="O3" s="20">
        <v>0</v>
      </c>
      <c r="P3" s="20">
        <f>SUM(M3:O3)</f>
        <v>16533.3</v>
      </c>
      <c r="Q3" s="21"/>
      <c r="R3" s="22">
        <f>14010+775</f>
        <v>14785</v>
      </c>
      <c r="S3" s="21"/>
      <c r="T3" s="21"/>
      <c r="U3" s="21"/>
      <c r="V3" s="21"/>
      <c r="W3" s="21"/>
      <c r="X3" s="21"/>
      <c r="Y3" s="23"/>
      <c r="Z3" s="24"/>
      <c r="AA3" s="12"/>
      <c r="AB3" s="24"/>
    </row>
    <row r="4" spans="1:46" s="11" customFormat="1">
      <c r="A4" s="17"/>
      <c r="B4" s="66"/>
      <c r="C4" s="34"/>
      <c r="G4" s="17"/>
      <c r="H4" s="17"/>
      <c r="I4" s="17"/>
      <c r="J4" s="17"/>
      <c r="K4" s="17"/>
      <c r="L4" s="18"/>
      <c r="M4" s="25">
        <v>550</v>
      </c>
      <c r="N4" s="26">
        <f>+N3/26</f>
        <v>30.280769230769234</v>
      </c>
      <c r="O4" s="20"/>
      <c r="P4" s="26">
        <f>+P3/26</f>
        <v>635.89615384615377</v>
      </c>
      <c r="Q4" s="21"/>
      <c r="R4" s="25">
        <f>+R3/26</f>
        <v>568.65384615384619</v>
      </c>
      <c r="S4" s="21"/>
      <c r="T4" s="21"/>
      <c r="U4" s="21"/>
      <c r="V4" s="21"/>
      <c r="W4" s="21"/>
      <c r="X4" s="21"/>
      <c r="Y4" s="23"/>
      <c r="Z4" s="24"/>
      <c r="AA4" s="12"/>
      <c r="AB4" s="24"/>
    </row>
    <row r="5" spans="1:46" s="11" customFormat="1">
      <c r="A5" s="27" t="s">
        <v>440</v>
      </c>
      <c r="B5" s="67"/>
      <c r="C5" s="27"/>
      <c r="D5" s="27"/>
      <c r="E5" s="27"/>
      <c r="F5" s="27" t="s">
        <v>58</v>
      </c>
      <c r="G5" s="27"/>
      <c r="H5" s="27"/>
      <c r="I5" s="27"/>
      <c r="J5" s="27"/>
      <c r="K5" s="27"/>
      <c r="L5" s="27"/>
      <c r="M5" s="19">
        <f>14010+1736</f>
        <v>15746</v>
      </c>
      <c r="N5" s="20">
        <f>+M5*5%</f>
        <v>787.30000000000007</v>
      </c>
      <c r="O5" s="20">
        <v>0</v>
      </c>
      <c r="P5" s="20">
        <f>SUM(M5:O5)</f>
        <v>16533.3</v>
      </c>
      <c r="Q5" s="28">
        <f>Q6-P53</f>
        <v>-1.8692307692326722</v>
      </c>
      <c r="R5" s="27"/>
      <c r="S5" s="27"/>
      <c r="T5" s="27"/>
      <c r="U5" s="27"/>
      <c r="V5" s="27"/>
      <c r="W5" s="27"/>
      <c r="X5" s="27"/>
      <c r="Y5" s="27"/>
      <c r="Z5" s="27"/>
      <c r="AA5" s="12"/>
    </row>
    <row r="6" spans="1:46" s="11" customFormat="1">
      <c r="A6" s="29"/>
      <c r="B6" s="68"/>
      <c r="C6" s="106"/>
      <c r="D6" s="30"/>
      <c r="E6" s="30"/>
      <c r="F6" s="29"/>
      <c r="G6" s="29"/>
      <c r="H6" s="29"/>
      <c r="I6" s="29"/>
      <c r="J6" s="29"/>
      <c r="K6" s="29"/>
      <c r="L6" s="31">
        <f>M6*I53</f>
        <v>10901.076923076924</v>
      </c>
      <c r="M6" s="25">
        <f>+M5/26</f>
        <v>605.61538461538464</v>
      </c>
      <c r="N6" s="26">
        <f>+N5/26</f>
        <v>30.280769230769234</v>
      </c>
      <c r="O6" s="20"/>
      <c r="P6" s="26">
        <f>+P5/26</f>
        <v>635.89615384615377</v>
      </c>
      <c r="Q6" s="31">
        <f>P6*I53</f>
        <v>11446.130769230767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 spans="1:46" s="34" customFormat="1">
      <c r="A7" s="204" t="s">
        <v>59</v>
      </c>
      <c r="B7" s="207" t="s">
        <v>60</v>
      </c>
      <c r="C7" s="208" t="s">
        <v>61</v>
      </c>
      <c r="D7" s="204" t="s">
        <v>62</v>
      </c>
      <c r="E7" s="32"/>
      <c r="F7" s="204" t="s">
        <v>63</v>
      </c>
      <c r="G7" s="204" t="s">
        <v>64</v>
      </c>
      <c r="H7" s="204" t="s">
        <v>65</v>
      </c>
      <c r="I7" s="204" t="s">
        <v>66</v>
      </c>
      <c r="J7" s="204" t="s">
        <v>67</v>
      </c>
      <c r="K7" s="204" t="s">
        <v>68</v>
      </c>
      <c r="L7" s="209" t="s">
        <v>69</v>
      </c>
      <c r="M7" s="206" t="s">
        <v>70</v>
      </c>
      <c r="N7" s="205" t="s">
        <v>71</v>
      </c>
      <c r="O7" s="205" t="s">
        <v>72</v>
      </c>
      <c r="P7" s="205" t="s">
        <v>73</v>
      </c>
      <c r="Q7" s="204" t="s">
        <v>74</v>
      </c>
      <c r="R7" s="204"/>
      <c r="S7" s="204"/>
      <c r="T7" s="204"/>
      <c r="U7" s="204"/>
      <c r="V7" s="204"/>
      <c r="W7" s="204"/>
      <c r="X7" s="204"/>
      <c r="Y7" s="204"/>
      <c r="Z7" s="202" t="s">
        <v>75</v>
      </c>
      <c r="AA7" s="204" t="s">
        <v>76</v>
      </c>
      <c r="AB7" s="202" t="s">
        <v>77</v>
      </c>
      <c r="AC7" s="33"/>
    </row>
    <row r="8" spans="1:46" s="34" customFormat="1">
      <c r="A8" s="204"/>
      <c r="B8" s="207"/>
      <c r="C8" s="208"/>
      <c r="D8" s="204"/>
      <c r="E8" s="32"/>
      <c r="F8" s="204"/>
      <c r="G8" s="204"/>
      <c r="H8" s="204"/>
      <c r="I8" s="204"/>
      <c r="J8" s="204"/>
      <c r="K8" s="204"/>
      <c r="L8" s="209"/>
      <c r="M8" s="206"/>
      <c r="N8" s="205"/>
      <c r="O8" s="205"/>
      <c r="P8" s="205"/>
      <c r="Q8" s="203" t="s">
        <v>78</v>
      </c>
      <c r="R8" s="203" t="s">
        <v>42</v>
      </c>
      <c r="S8" s="203" t="s">
        <v>43</v>
      </c>
      <c r="T8" s="203" t="s">
        <v>79</v>
      </c>
      <c r="U8" s="203" t="s">
        <v>80</v>
      </c>
      <c r="V8" s="203" t="s">
        <v>81</v>
      </c>
      <c r="W8" s="203" t="s">
        <v>168</v>
      </c>
      <c r="X8" s="203" t="s">
        <v>82</v>
      </c>
      <c r="Y8" s="203" t="s">
        <v>83</v>
      </c>
      <c r="Z8" s="202"/>
      <c r="AA8" s="204"/>
      <c r="AB8" s="202"/>
      <c r="AC8" s="33"/>
    </row>
    <row r="9" spans="1:46" s="34" customFormat="1" ht="27.6">
      <c r="A9" s="204"/>
      <c r="B9" s="207"/>
      <c r="C9" s="208"/>
      <c r="D9" s="204"/>
      <c r="E9" s="32"/>
      <c r="F9" s="204"/>
      <c r="G9" s="204"/>
      <c r="H9" s="204"/>
      <c r="I9" s="204"/>
      <c r="J9" s="204"/>
      <c r="K9" s="204"/>
      <c r="L9" s="209"/>
      <c r="M9" s="206"/>
      <c r="N9" s="205"/>
      <c r="O9" s="205"/>
      <c r="P9" s="205"/>
      <c r="Q9" s="203"/>
      <c r="R9" s="203"/>
      <c r="S9" s="203"/>
      <c r="T9" s="203"/>
      <c r="U9" s="203"/>
      <c r="V9" s="203"/>
      <c r="W9" s="203"/>
      <c r="X9" s="203"/>
      <c r="Y9" s="203"/>
      <c r="Z9" s="202"/>
      <c r="AA9" s="204"/>
      <c r="AB9" s="202"/>
      <c r="AC9" s="33"/>
      <c r="AF9" s="34" t="s">
        <v>84</v>
      </c>
    </row>
    <row r="10" spans="1:46" s="34" customFormat="1">
      <c r="A10" s="204"/>
      <c r="B10" s="207"/>
      <c r="C10" s="208"/>
      <c r="D10" s="204"/>
      <c r="E10" s="32"/>
      <c r="F10" s="204"/>
      <c r="G10" s="204"/>
      <c r="H10" s="204"/>
      <c r="I10" s="204"/>
      <c r="J10" s="204"/>
      <c r="K10" s="204"/>
      <c r="L10" s="209"/>
      <c r="M10" s="206"/>
      <c r="N10" s="205"/>
      <c r="O10" s="205"/>
      <c r="P10" s="205"/>
      <c r="Q10" s="203"/>
      <c r="R10" s="203"/>
      <c r="S10" s="203"/>
      <c r="T10" s="203"/>
      <c r="U10" s="203"/>
      <c r="V10" s="203"/>
      <c r="W10" s="203"/>
      <c r="X10" s="203"/>
      <c r="Y10" s="203"/>
      <c r="Z10" s="202"/>
      <c r="AA10" s="204"/>
      <c r="AB10" s="202"/>
      <c r="AC10" s="33"/>
    </row>
    <row r="11" spans="1:46" s="34" customFormat="1">
      <c r="A11" s="204"/>
      <c r="B11" s="207"/>
      <c r="C11" s="208"/>
      <c r="D11" s="204"/>
      <c r="E11" s="32"/>
      <c r="F11" s="204"/>
      <c r="G11" s="204"/>
      <c r="H11" s="204"/>
      <c r="I11" s="204"/>
      <c r="J11" s="204"/>
      <c r="K11" s="204"/>
      <c r="L11" s="209"/>
      <c r="M11" s="206"/>
      <c r="N11" s="205"/>
      <c r="O11" s="205"/>
      <c r="P11" s="205"/>
      <c r="Q11" s="203"/>
      <c r="R11" s="203"/>
      <c r="S11" s="203"/>
      <c r="T11" s="203"/>
      <c r="U11" s="203"/>
      <c r="V11" s="203"/>
      <c r="W11" s="203"/>
      <c r="X11" s="203"/>
      <c r="Y11" s="203"/>
      <c r="Z11" s="202"/>
      <c r="AA11" s="204"/>
      <c r="AB11" s="202"/>
      <c r="AC11" s="33"/>
    </row>
    <row r="12" spans="1:46">
      <c r="A12" s="35">
        <v>1</v>
      </c>
      <c r="B12" s="82">
        <v>101447270865</v>
      </c>
      <c r="C12" s="90">
        <v>3314278646</v>
      </c>
      <c r="D12" s="71" t="s">
        <v>213</v>
      </c>
      <c r="E12" s="6">
        <v>22</v>
      </c>
      <c r="F12" s="36">
        <v>636</v>
      </c>
      <c r="G12" s="85">
        <v>6</v>
      </c>
      <c r="H12" s="9">
        <v>5</v>
      </c>
      <c r="I12" s="37">
        <f t="shared" ref="I12:I42" si="0">+G12+H12</f>
        <v>11</v>
      </c>
      <c r="J12" s="38">
        <f>ROUND(G12*F12,0)</f>
        <v>3816</v>
      </c>
      <c r="K12" s="38">
        <f>ROUND(F12*H12,0)</f>
        <v>3180</v>
      </c>
      <c r="L12" s="38">
        <f>J12+K12</f>
        <v>6996</v>
      </c>
      <c r="M12" s="38">
        <f>ROUND($M$4*G12,0)</f>
        <v>3300</v>
      </c>
      <c r="N12" s="39">
        <f>ROUND($M12*5%,0)</f>
        <v>165</v>
      </c>
      <c r="O12" s="38">
        <f>L12-M12-N12</f>
        <v>3531</v>
      </c>
      <c r="P12" s="38">
        <f>O12+N12+M12</f>
        <v>6996</v>
      </c>
      <c r="Q12" s="39">
        <f t="shared" ref="Q12:Q42" si="1">ROUND(M12*12%,0)</f>
        <v>396</v>
      </c>
      <c r="R12" s="39">
        <f>IF(P12&lt;=7500,0,IF(P12&lt;=10000,175,200))</f>
        <v>0</v>
      </c>
      <c r="S12" s="39">
        <f>ROUND(P12*0.75%,0)</f>
        <v>52</v>
      </c>
      <c r="T12" s="39"/>
      <c r="U12" s="6"/>
      <c r="V12" s="4"/>
      <c r="W12" s="7"/>
      <c r="X12" s="2"/>
      <c r="Y12" s="39">
        <f t="shared" ref="Y12:Y42" si="2">SUM(Q12:X12)</f>
        <v>448</v>
      </c>
      <c r="Z12" s="40">
        <f t="shared" ref="Z12:Z42" si="3">P12-Y12</f>
        <v>6548</v>
      </c>
      <c r="AA12" s="10">
        <v>500</v>
      </c>
      <c r="AB12" s="40">
        <f>Z12-AA12</f>
        <v>6048</v>
      </c>
      <c r="AC12" s="41">
        <f t="shared" ref="AC12:AC42" si="4">E12-AB12</f>
        <v>-6026</v>
      </c>
      <c r="AD12" s="42" t="e">
        <f>VLOOKUP(D12,#REF!,3,0)</f>
        <v>#REF!</v>
      </c>
      <c r="AE12" s="42" t="s">
        <v>15</v>
      </c>
      <c r="AF12" s="42">
        <v>3143.4</v>
      </c>
      <c r="AG12" s="43">
        <f t="shared" ref="AG12:AG42" si="5">AF12-AB12</f>
        <v>-2904.6</v>
      </c>
      <c r="AI12" s="5" t="s">
        <v>114</v>
      </c>
      <c r="AJ12" s="42" t="b">
        <f t="shared" ref="AJ12:AJ57" si="6">D12=AI12</f>
        <v>0</v>
      </c>
      <c r="AK12" s="5">
        <v>260</v>
      </c>
      <c r="AL12" s="5"/>
      <c r="AM12" s="5">
        <v>5000</v>
      </c>
      <c r="AO12" s="72">
        <v>3314278646</v>
      </c>
      <c r="AP12" s="42" t="b">
        <f>AO12=C12</f>
        <v>1</v>
      </c>
      <c r="AR12" s="201">
        <f>E12-I12</f>
        <v>11</v>
      </c>
      <c r="AS12" s="201">
        <f>AR12-5</f>
        <v>6</v>
      </c>
      <c r="AT12" s="42">
        <v>5</v>
      </c>
    </row>
    <row r="13" spans="1:46">
      <c r="A13" s="35">
        <v>2</v>
      </c>
      <c r="B13" s="82">
        <v>101747190938</v>
      </c>
      <c r="C13" s="90">
        <v>3313290894</v>
      </c>
      <c r="D13" s="71" t="s">
        <v>219</v>
      </c>
      <c r="E13" s="6">
        <v>27</v>
      </c>
      <c r="F13" s="36">
        <v>636</v>
      </c>
      <c r="G13" s="86">
        <v>9</v>
      </c>
      <c r="H13" s="9">
        <v>5</v>
      </c>
      <c r="I13" s="37">
        <f t="shared" si="0"/>
        <v>14</v>
      </c>
      <c r="J13" s="38">
        <f t="shared" ref="J13:J42" si="7">ROUND(G13*F13,0)</f>
        <v>5724</v>
      </c>
      <c r="K13" s="38">
        <f t="shared" ref="K13:K42" si="8">ROUND(F13*H13,0)</f>
        <v>3180</v>
      </c>
      <c r="L13" s="38">
        <f t="shared" ref="L13:L75" si="9">J13+K13</f>
        <v>8904</v>
      </c>
      <c r="M13" s="38">
        <f t="shared" ref="M13:M42" si="10">ROUND($M$4*G13,0)</f>
        <v>4950</v>
      </c>
      <c r="N13" s="39">
        <f t="shared" ref="N13:N42" si="11">ROUND($M13*5%,0)</f>
        <v>248</v>
      </c>
      <c r="O13" s="38">
        <f t="shared" ref="O13:O42" si="12">L13-M13-N13</f>
        <v>3706</v>
      </c>
      <c r="P13" s="38">
        <f>O13+N13+M13</f>
        <v>8904</v>
      </c>
      <c r="Q13" s="39">
        <f t="shared" si="1"/>
        <v>594</v>
      </c>
      <c r="R13" s="39">
        <f t="shared" ref="R13:R76" si="13">IF(P13&lt;=7500,0,IF(P13&lt;=10000,175,200))</f>
        <v>175</v>
      </c>
      <c r="S13" s="39">
        <f t="shared" ref="S13:S42" si="14">ROUND(P13*0.75%,0)</f>
        <v>67</v>
      </c>
      <c r="T13" s="39"/>
      <c r="U13" s="6"/>
      <c r="V13" s="4"/>
      <c r="W13" s="7"/>
      <c r="X13" s="2"/>
      <c r="Y13" s="39">
        <f t="shared" si="2"/>
        <v>836</v>
      </c>
      <c r="Z13" s="40">
        <f t="shared" si="3"/>
        <v>8068</v>
      </c>
      <c r="AA13" s="10">
        <v>500</v>
      </c>
      <c r="AB13" s="40">
        <f t="shared" ref="AB13:AB42" si="15">Z13-AA13</f>
        <v>7568</v>
      </c>
      <c r="AC13" s="41">
        <f t="shared" si="4"/>
        <v>-7541</v>
      </c>
      <c r="AD13" s="42" t="e">
        <f>VLOOKUP(D13,#REF!,3,0)</f>
        <v>#REF!</v>
      </c>
      <c r="AE13" s="42" t="s">
        <v>85</v>
      </c>
      <c r="AF13" s="42">
        <v>6928.1</v>
      </c>
      <c r="AG13" s="43">
        <f t="shared" si="5"/>
        <v>-639.89999999999964</v>
      </c>
      <c r="AI13" s="6" t="s">
        <v>149</v>
      </c>
      <c r="AJ13" s="42" t="b">
        <f t="shared" si="6"/>
        <v>0</v>
      </c>
      <c r="AK13" s="6">
        <v>16</v>
      </c>
      <c r="AL13" s="6"/>
      <c r="AM13" s="6"/>
      <c r="AO13" s="72">
        <v>3316473499</v>
      </c>
      <c r="AP13" s="42" t="b">
        <f t="shared" ref="AP13:AP75" si="16">AO13=C13</f>
        <v>0</v>
      </c>
      <c r="AR13" s="201">
        <f t="shared" ref="AR13:AR76" si="17">E13-I13</f>
        <v>13</v>
      </c>
      <c r="AS13" s="201">
        <f t="shared" ref="AS13:AS76" si="18">AR13-5</f>
        <v>8</v>
      </c>
      <c r="AT13" s="42">
        <v>5</v>
      </c>
    </row>
    <row r="14" spans="1:46">
      <c r="A14" s="35">
        <v>4</v>
      </c>
      <c r="B14" s="82">
        <v>102043325356</v>
      </c>
      <c r="C14" s="90">
        <v>3316016132</v>
      </c>
      <c r="D14" s="71" t="s">
        <v>190</v>
      </c>
      <c r="E14" s="6">
        <v>14</v>
      </c>
      <c r="F14" s="36">
        <v>636</v>
      </c>
      <c r="G14" s="85">
        <v>2</v>
      </c>
      <c r="H14" s="9">
        <v>5</v>
      </c>
      <c r="I14" s="37">
        <f t="shared" si="0"/>
        <v>7</v>
      </c>
      <c r="J14" s="38">
        <f t="shared" si="7"/>
        <v>1272</v>
      </c>
      <c r="K14" s="38">
        <f t="shared" si="8"/>
        <v>3180</v>
      </c>
      <c r="L14" s="38">
        <f t="shared" si="9"/>
        <v>4452</v>
      </c>
      <c r="M14" s="38">
        <f t="shared" si="10"/>
        <v>1100</v>
      </c>
      <c r="N14" s="39">
        <f t="shared" si="11"/>
        <v>55</v>
      </c>
      <c r="O14" s="38">
        <f t="shared" si="12"/>
        <v>3297</v>
      </c>
      <c r="P14" s="38">
        <f t="shared" ref="P14:P42" si="19">O14+N14+M14</f>
        <v>4452</v>
      </c>
      <c r="Q14" s="39">
        <f t="shared" si="1"/>
        <v>132</v>
      </c>
      <c r="R14" s="39">
        <f t="shared" si="13"/>
        <v>0</v>
      </c>
      <c r="S14" s="39">
        <f t="shared" si="14"/>
        <v>33</v>
      </c>
      <c r="T14" s="39"/>
      <c r="U14" s="6"/>
      <c r="V14" s="4"/>
      <c r="W14" s="7"/>
      <c r="X14" s="2"/>
      <c r="Y14" s="39">
        <f t="shared" si="2"/>
        <v>165</v>
      </c>
      <c r="Z14" s="40">
        <f t="shared" si="3"/>
        <v>4287</v>
      </c>
      <c r="AA14" s="10">
        <v>500</v>
      </c>
      <c r="AB14" s="40">
        <f t="shared" si="15"/>
        <v>3787</v>
      </c>
      <c r="AC14" s="41">
        <f t="shared" si="4"/>
        <v>-3773</v>
      </c>
      <c r="AD14" s="42" t="e">
        <f>VLOOKUP(D14,#REF!,3,0)</f>
        <v>#REF!</v>
      </c>
      <c r="AF14" s="42">
        <v>10280.4</v>
      </c>
      <c r="AG14" s="43">
        <f t="shared" si="5"/>
        <v>6493.4</v>
      </c>
      <c r="AI14" s="6" t="s">
        <v>34</v>
      </c>
      <c r="AJ14" s="42" t="b">
        <f t="shared" si="6"/>
        <v>0</v>
      </c>
      <c r="AK14" s="6">
        <v>531</v>
      </c>
      <c r="AL14" s="6"/>
      <c r="AM14" s="6">
        <v>5000</v>
      </c>
      <c r="AO14" s="72">
        <v>3314505091</v>
      </c>
      <c r="AP14" s="42" t="b">
        <f t="shared" si="16"/>
        <v>0</v>
      </c>
      <c r="AR14" s="201">
        <f t="shared" si="17"/>
        <v>7</v>
      </c>
      <c r="AS14" s="201">
        <f t="shared" si="18"/>
        <v>2</v>
      </c>
      <c r="AT14" s="42">
        <v>5</v>
      </c>
    </row>
    <row r="15" spans="1:46">
      <c r="A15" s="35">
        <v>5</v>
      </c>
      <c r="B15" s="82">
        <v>101509952020</v>
      </c>
      <c r="C15" s="90">
        <v>3311275186</v>
      </c>
      <c r="D15" s="71" t="s">
        <v>227</v>
      </c>
      <c r="E15" s="6">
        <v>26.5</v>
      </c>
      <c r="F15" s="36">
        <v>636</v>
      </c>
      <c r="G15" s="85">
        <v>8.5</v>
      </c>
      <c r="H15" s="9">
        <v>5</v>
      </c>
      <c r="I15" s="37">
        <f t="shared" si="0"/>
        <v>13.5</v>
      </c>
      <c r="J15" s="38">
        <f t="shared" si="7"/>
        <v>5406</v>
      </c>
      <c r="K15" s="38">
        <f t="shared" si="8"/>
        <v>3180</v>
      </c>
      <c r="L15" s="38">
        <f t="shared" si="9"/>
        <v>8586</v>
      </c>
      <c r="M15" s="38">
        <f t="shared" si="10"/>
        <v>4675</v>
      </c>
      <c r="N15" s="39">
        <f t="shared" si="11"/>
        <v>234</v>
      </c>
      <c r="O15" s="38">
        <f t="shared" si="12"/>
        <v>3677</v>
      </c>
      <c r="P15" s="38">
        <f t="shared" si="19"/>
        <v>8586</v>
      </c>
      <c r="Q15" s="39">
        <f t="shared" si="1"/>
        <v>561</v>
      </c>
      <c r="R15" s="39">
        <f t="shared" si="13"/>
        <v>175</v>
      </c>
      <c r="S15" s="39">
        <f t="shared" si="14"/>
        <v>64</v>
      </c>
      <c r="T15" s="39"/>
      <c r="U15" s="6"/>
      <c r="V15" s="4"/>
      <c r="W15" s="7"/>
      <c r="X15" s="2"/>
      <c r="Y15" s="39">
        <f t="shared" si="2"/>
        <v>800</v>
      </c>
      <c r="Z15" s="40">
        <f t="shared" si="3"/>
        <v>7786</v>
      </c>
      <c r="AA15" s="10">
        <v>500</v>
      </c>
      <c r="AB15" s="40">
        <f t="shared" si="15"/>
        <v>7286</v>
      </c>
      <c r="AC15" s="41">
        <f t="shared" si="4"/>
        <v>-7259.5</v>
      </c>
      <c r="AD15" s="42" t="e">
        <f>VLOOKUP(D15,#REF!,3,0)</f>
        <v>#REF!</v>
      </c>
      <c r="AF15" s="42">
        <v>7013</v>
      </c>
      <c r="AG15" s="43">
        <f t="shared" si="5"/>
        <v>-273</v>
      </c>
      <c r="AI15" s="6" t="s">
        <v>0</v>
      </c>
      <c r="AJ15" s="42" t="b">
        <f t="shared" si="6"/>
        <v>0</v>
      </c>
      <c r="AK15" s="6">
        <v>638</v>
      </c>
      <c r="AL15" s="6"/>
      <c r="AM15" s="6"/>
      <c r="AO15" s="72">
        <v>3316016132</v>
      </c>
      <c r="AP15" s="42" t="b">
        <f t="shared" si="16"/>
        <v>0</v>
      </c>
      <c r="AR15" s="201">
        <f t="shared" si="17"/>
        <v>13</v>
      </c>
      <c r="AS15" s="201">
        <f t="shared" si="18"/>
        <v>8</v>
      </c>
      <c r="AT15" s="42">
        <v>5</v>
      </c>
    </row>
    <row r="16" spans="1:46">
      <c r="A16" s="35">
        <v>6</v>
      </c>
      <c r="B16" s="82">
        <v>102056969235</v>
      </c>
      <c r="C16" s="90">
        <v>3316230356</v>
      </c>
      <c r="D16" s="71" t="s">
        <v>186</v>
      </c>
      <c r="E16" s="6">
        <v>26</v>
      </c>
      <c r="F16" s="36">
        <v>636</v>
      </c>
      <c r="G16" s="85">
        <v>11</v>
      </c>
      <c r="H16" s="9">
        <v>5</v>
      </c>
      <c r="I16" s="37">
        <f t="shared" si="0"/>
        <v>16</v>
      </c>
      <c r="J16" s="38">
        <f t="shared" si="7"/>
        <v>6996</v>
      </c>
      <c r="K16" s="38">
        <f t="shared" si="8"/>
        <v>3180</v>
      </c>
      <c r="L16" s="38">
        <f t="shared" si="9"/>
        <v>10176</v>
      </c>
      <c r="M16" s="38">
        <f t="shared" si="10"/>
        <v>6050</v>
      </c>
      <c r="N16" s="39">
        <f t="shared" si="11"/>
        <v>303</v>
      </c>
      <c r="O16" s="38">
        <f t="shared" si="12"/>
        <v>3823</v>
      </c>
      <c r="P16" s="38">
        <f t="shared" si="19"/>
        <v>10176</v>
      </c>
      <c r="Q16" s="39">
        <f t="shared" si="1"/>
        <v>726</v>
      </c>
      <c r="R16" s="39">
        <f t="shared" si="13"/>
        <v>200</v>
      </c>
      <c r="S16" s="39">
        <f t="shared" si="14"/>
        <v>76</v>
      </c>
      <c r="T16" s="39"/>
      <c r="U16" s="6"/>
      <c r="V16" s="4"/>
      <c r="W16" s="7"/>
      <c r="X16" s="2"/>
      <c r="Y16" s="39">
        <f t="shared" si="2"/>
        <v>1002</v>
      </c>
      <c r="Z16" s="40">
        <f t="shared" si="3"/>
        <v>9174</v>
      </c>
      <c r="AA16" s="10">
        <v>500</v>
      </c>
      <c r="AB16" s="40">
        <f t="shared" si="15"/>
        <v>8674</v>
      </c>
      <c r="AC16" s="41">
        <f t="shared" si="4"/>
        <v>-8648</v>
      </c>
      <c r="AD16" s="42" t="e">
        <f>VLOOKUP(D16,#REF!,3,0)</f>
        <v>#REF!</v>
      </c>
      <c r="AE16" s="42" t="s">
        <v>44</v>
      </c>
      <c r="AF16" s="42">
        <v>1890</v>
      </c>
      <c r="AG16" s="43">
        <f t="shared" si="5"/>
        <v>-6784</v>
      </c>
      <c r="AI16" s="44" t="s">
        <v>44</v>
      </c>
      <c r="AJ16" s="42" t="b">
        <f t="shared" si="6"/>
        <v>0</v>
      </c>
      <c r="AK16" s="6">
        <v>349</v>
      </c>
      <c r="AL16" s="6"/>
      <c r="AM16" s="6">
        <v>5000</v>
      </c>
      <c r="AO16" s="72">
        <v>3312776193</v>
      </c>
      <c r="AP16" s="42" t="b">
        <f t="shared" si="16"/>
        <v>0</v>
      </c>
      <c r="AR16" s="201">
        <f t="shared" si="17"/>
        <v>10</v>
      </c>
      <c r="AS16" s="201">
        <f t="shared" si="18"/>
        <v>5</v>
      </c>
      <c r="AT16" s="42">
        <v>5</v>
      </c>
    </row>
    <row r="17" spans="1:46">
      <c r="A17" s="35">
        <v>7</v>
      </c>
      <c r="B17" s="82">
        <v>101475240602</v>
      </c>
      <c r="C17" s="90">
        <v>3310877479</v>
      </c>
      <c r="D17" s="71" t="s">
        <v>229</v>
      </c>
      <c r="E17" s="6">
        <v>24</v>
      </c>
      <c r="F17" s="36">
        <v>636</v>
      </c>
      <c r="G17" s="86">
        <v>8</v>
      </c>
      <c r="H17" s="9">
        <v>5</v>
      </c>
      <c r="I17" s="37">
        <f t="shared" si="0"/>
        <v>13</v>
      </c>
      <c r="J17" s="38">
        <f t="shared" si="7"/>
        <v>5088</v>
      </c>
      <c r="K17" s="38">
        <f t="shared" si="8"/>
        <v>3180</v>
      </c>
      <c r="L17" s="38">
        <f t="shared" si="9"/>
        <v>8268</v>
      </c>
      <c r="M17" s="38">
        <f t="shared" si="10"/>
        <v>4400</v>
      </c>
      <c r="N17" s="39">
        <f t="shared" si="11"/>
        <v>220</v>
      </c>
      <c r="O17" s="38">
        <f t="shared" si="12"/>
        <v>3648</v>
      </c>
      <c r="P17" s="38">
        <f t="shared" si="19"/>
        <v>8268</v>
      </c>
      <c r="Q17" s="39">
        <f t="shared" si="1"/>
        <v>528</v>
      </c>
      <c r="R17" s="39">
        <f t="shared" si="13"/>
        <v>175</v>
      </c>
      <c r="S17" s="39">
        <f t="shared" si="14"/>
        <v>62</v>
      </c>
      <c r="T17" s="39"/>
      <c r="U17" s="6"/>
      <c r="V17" s="4"/>
      <c r="W17" s="7"/>
      <c r="X17" s="2"/>
      <c r="Y17" s="39">
        <f t="shared" si="2"/>
        <v>765</v>
      </c>
      <c r="Z17" s="40">
        <f t="shared" si="3"/>
        <v>7503</v>
      </c>
      <c r="AA17" s="10">
        <v>500</v>
      </c>
      <c r="AB17" s="40">
        <f t="shared" si="15"/>
        <v>7003</v>
      </c>
      <c r="AC17" s="41">
        <f t="shared" si="4"/>
        <v>-6979</v>
      </c>
      <c r="AD17" s="42" t="e">
        <f>VLOOKUP(D17,#REF!,3,0)</f>
        <v>#REF!</v>
      </c>
      <c r="AF17" s="42">
        <v>11377</v>
      </c>
      <c r="AG17" s="43">
        <f t="shared" si="5"/>
        <v>4374</v>
      </c>
      <c r="AI17" s="6" t="s">
        <v>109</v>
      </c>
      <c r="AJ17" s="42" t="b">
        <f t="shared" si="6"/>
        <v>0</v>
      </c>
      <c r="AK17" s="6">
        <v>33</v>
      </c>
      <c r="AL17" s="6"/>
      <c r="AM17" s="6"/>
      <c r="AO17" s="72">
        <v>3311275186</v>
      </c>
      <c r="AP17" s="42" t="b">
        <f t="shared" si="16"/>
        <v>0</v>
      </c>
      <c r="AR17" s="201">
        <f t="shared" si="17"/>
        <v>11</v>
      </c>
      <c r="AS17" s="201">
        <f t="shared" si="18"/>
        <v>6</v>
      </c>
      <c r="AT17" s="42">
        <v>5</v>
      </c>
    </row>
    <row r="18" spans="1:46">
      <c r="A18" s="35">
        <v>8</v>
      </c>
      <c r="B18" s="82">
        <v>101835374035</v>
      </c>
      <c r="C18" s="90">
        <v>3315576432</v>
      </c>
      <c r="D18" s="71" t="s">
        <v>212</v>
      </c>
      <c r="E18" s="6">
        <v>16</v>
      </c>
      <c r="F18" s="36">
        <v>636</v>
      </c>
      <c r="G18" s="85">
        <v>6</v>
      </c>
      <c r="H18" s="9">
        <v>5</v>
      </c>
      <c r="I18" s="37">
        <f t="shared" si="0"/>
        <v>11</v>
      </c>
      <c r="J18" s="38">
        <f t="shared" si="7"/>
        <v>3816</v>
      </c>
      <c r="K18" s="38">
        <f t="shared" si="8"/>
        <v>3180</v>
      </c>
      <c r="L18" s="38">
        <f t="shared" si="9"/>
        <v>6996</v>
      </c>
      <c r="M18" s="38">
        <f t="shared" si="10"/>
        <v>3300</v>
      </c>
      <c r="N18" s="39">
        <f t="shared" si="11"/>
        <v>165</v>
      </c>
      <c r="O18" s="38">
        <f t="shared" si="12"/>
        <v>3531</v>
      </c>
      <c r="P18" s="38">
        <f t="shared" si="19"/>
        <v>6996</v>
      </c>
      <c r="Q18" s="39">
        <f>ROUND(M18*12%,0)</f>
        <v>396</v>
      </c>
      <c r="R18" s="39">
        <f t="shared" si="13"/>
        <v>0</v>
      </c>
      <c r="S18" s="39">
        <f t="shared" si="14"/>
        <v>52</v>
      </c>
      <c r="T18" s="39"/>
      <c r="U18" s="6"/>
      <c r="V18" s="4"/>
      <c r="W18" s="7"/>
      <c r="X18" s="2"/>
      <c r="Y18" s="39">
        <f t="shared" si="2"/>
        <v>448</v>
      </c>
      <c r="Z18" s="40">
        <f t="shared" si="3"/>
        <v>6548</v>
      </c>
      <c r="AA18" s="10">
        <v>500</v>
      </c>
      <c r="AB18" s="40">
        <f t="shared" si="15"/>
        <v>6048</v>
      </c>
      <c r="AC18" s="41">
        <f t="shared" si="4"/>
        <v>-6032</v>
      </c>
      <c r="AD18" s="42" t="e">
        <f>VLOOKUP(D18,#REF!,2,0)</f>
        <v>#REF!</v>
      </c>
      <c r="AF18" s="42">
        <v>7392.4</v>
      </c>
      <c r="AG18" s="43">
        <f t="shared" si="5"/>
        <v>1344.3999999999996</v>
      </c>
      <c r="AI18" s="6" t="s">
        <v>121</v>
      </c>
      <c r="AJ18" s="42" t="b">
        <f t="shared" si="6"/>
        <v>0</v>
      </c>
      <c r="AK18" s="6">
        <v>161</v>
      </c>
      <c r="AL18" s="6"/>
      <c r="AM18" s="6"/>
      <c r="AO18" s="72">
        <v>3316230356</v>
      </c>
      <c r="AP18" s="42" t="b">
        <f t="shared" si="16"/>
        <v>0</v>
      </c>
      <c r="AR18" s="201">
        <f t="shared" si="17"/>
        <v>5</v>
      </c>
      <c r="AS18" s="201">
        <f t="shared" si="18"/>
        <v>0</v>
      </c>
      <c r="AT18" s="42">
        <v>5</v>
      </c>
    </row>
    <row r="19" spans="1:46">
      <c r="A19" s="35">
        <v>9</v>
      </c>
      <c r="B19" s="82">
        <v>102025154331</v>
      </c>
      <c r="C19" s="90">
        <v>3315898061</v>
      </c>
      <c r="D19" s="71" t="s">
        <v>194</v>
      </c>
      <c r="E19" s="6">
        <v>8</v>
      </c>
      <c r="F19" s="36">
        <v>636</v>
      </c>
      <c r="G19" s="85">
        <v>0</v>
      </c>
      <c r="H19" s="9"/>
      <c r="I19" s="37">
        <f t="shared" si="0"/>
        <v>0</v>
      </c>
      <c r="J19" s="38">
        <f t="shared" si="7"/>
        <v>0</v>
      </c>
      <c r="K19" s="38">
        <f t="shared" si="8"/>
        <v>0</v>
      </c>
      <c r="L19" s="38">
        <f t="shared" si="9"/>
        <v>0</v>
      </c>
      <c r="M19" s="38">
        <f t="shared" si="10"/>
        <v>0</v>
      </c>
      <c r="N19" s="39">
        <f t="shared" si="11"/>
        <v>0</v>
      </c>
      <c r="O19" s="38">
        <f t="shared" si="12"/>
        <v>0</v>
      </c>
      <c r="P19" s="38">
        <f t="shared" si="19"/>
        <v>0</v>
      </c>
      <c r="Q19" s="39">
        <f t="shared" si="1"/>
        <v>0</v>
      </c>
      <c r="R19" s="39">
        <f t="shared" si="13"/>
        <v>0</v>
      </c>
      <c r="S19" s="39">
        <f t="shared" si="14"/>
        <v>0</v>
      </c>
      <c r="T19" s="39"/>
      <c r="U19" s="6"/>
      <c r="V19" s="4"/>
      <c r="W19" s="7"/>
      <c r="X19" s="2"/>
      <c r="Y19" s="39">
        <f t="shared" si="2"/>
        <v>0</v>
      </c>
      <c r="Z19" s="40">
        <f t="shared" si="3"/>
        <v>0</v>
      </c>
      <c r="AA19" s="10">
        <v>500</v>
      </c>
      <c r="AB19" s="40">
        <f t="shared" si="15"/>
        <v>-500</v>
      </c>
      <c r="AC19" s="41">
        <f t="shared" si="4"/>
        <v>508</v>
      </c>
      <c r="AD19" s="42" t="e">
        <f>VLOOKUP(D19,#REF!,2,0)</f>
        <v>#REF!</v>
      </c>
      <c r="AE19" s="42" t="s">
        <v>11</v>
      </c>
      <c r="AF19" s="42">
        <v>9742.1</v>
      </c>
      <c r="AG19" s="43">
        <f t="shared" si="5"/>
        <v>10242.1</v>
      </c>
      <c r="AI19" s="6" t="s">
        <v>35</v>
      </c>
      <c r="AJ19" s="42" t="b">
        <f t="shared" si="6"/>
        <v>0</v>
      </c>
      <c r="AK19" s="6"/>
      <c r="AL19" s="6"/>
      <c r="AM19" s="6"/>
      <c r="AO19" s="72">
        <v>3310877479</v>
      </c>
      <c r="AP19" s="42" t="b">
        <f t="shared" si="16"/>
        <v>0</v>
      </c>
      <c r="AR19" s="201">
        <f t="shared" si="17"/>
        <v>8</v>
      </c>
      <c r="AS19" s="201">
        <f t="shared" si="18"/>
        <v>3</v>
      </c>
      <c r="AT19" s="42">
        <v>5</v>
      </c>
    </row>
    <row r="20" spans="1:46">
      <c r="A20" s="35">
        <v>10</v>
      </c>
      <c r="B20" s="89">
        <v>102143026061</v>
      </c>
      <c r="C20" s="90">
        <v>3317026055</v>
      </c>
      <c r="D20" s="71" t="s">
        <v>172</v>
      </c>
      <c r="E20" s="6">
        <v>11</v>
      </c>
      <c r="F20" s="36">
        <v>636</v>
      </c>
      <c r="G20" s="86">
        <v>1</v>
      </c>
      <c r="H20" s="9">
        <v>5</v>
      </c>
      <c r="I20" s="37">
        <f t="shared" si="0"/>
        <v>6</v>
      </c>
      <c r="J20" s="38">
        <f t="shared" si="7"/>
        <v>636</v>
      </c>
      <c r="K20" s="38">
        <f t="shared" si="8"/>
        <v>3180</v>
      </c>
      <c r="L20" s="38">
        <f t="shared" si="9"/>
        <v>3816</v>
      </c>
      <c r="M20" s="38">
        <f t="shared" si="10"/>
        <v>550</v>
      </c>
      <c r="N20" s="39">
        <f t="shared" si="11"/>
        <v>28</v>
      </c>
      <c r="O20" s="38">
        <f t="shared" si="12"/>
        <v>3238</v>
      </c>
      <c r="P20" s="38">
        <f t="shared" si="19"/>
        <v>3816</v>
      </c>
      <c r="Q20" s="39">
        <f t="shared" si="1"/>
        <v>66</v>
      </c>
      <c r="R20" s="39">
        <f t="shared" si="13"/>
        <v>0</v>
      </c>
      <c r="S20" s="39">
        <f t="shared" si="14"/>
        <v>29</v>
      </c>
      <c r="T20" s="39"/>
      <c r="U20" s="6"/>
      <c r="V20" s="4"/>
      <c r="W20" s="7"/>
      <c r="X20" s="2"/>
      <c r="Y20" s="39">
        <f t="shared" si="2"/>
        <v>95</v>
      </c>
      <c r="Z20" s="40">
        <f t="shared" si="3"/>
        <v>3721</v>
      </c>
      <c r="AA20" s="10">
        <v>500</v>
      </c>
      <c r="AB20" s="40">
        <f t="shared" si="15"/>
        <v>3221</v>
      </c>
      <c r="AC20" s="41">
        <f t="shared" si="4"/>
        <v>-3210</v>
      </c>
      <c r="AD20" s="42" t="e">
        <f>VLOOKUP(D20,#REF!,2,0)</f>
        <v>#REF!</v>
      </c>
      <c r="AF20" s="42">
        <v>13528</v>
      </c>
      <c r="AG20" s="43">
        <f t="shared" si="5"/>
        <v>10307</v>
      </c>
      <c r="AI20" s="6" t="s">
        <v>36</v>
      </c>
      <c r="AJ20" s="42" t="b">
        <f t="shared" si="6"/>
        <v>0</v>
      </c>
      <c r="AK20" s="6">
        <v>98</v>
      </c>
      <c r="AL20" s="6"/>
      <c r="AM20" s="6"/>
      <c r="AO20" s="72">
        <v>3315576432</v>
      </c>
      <c r="AP20" s="42" t="b">
        <f t="shared" si="16"/>
        <v>0</v>
      </c>
      <c r="AR20" s="201">
        <f t="shared" si="17"/>
        <v>5</v>
      </c>
      <c r="AS20" s="201">
        <f t="shared" si="18"/>
        <v>0</v>
      </c>
      <c r="AT20" s="42">
        <v>5</v>
      </c>
    </row>
    <row r="21" spans="1:46">
      <c r="A21" s="35">
        <v>11</v>
      </c>
      <c r="B21" s="82">
        <v>101623086404</v>
      </c>
      <c r="C21" s="90">
        <v>3316938981</v>
      </c>
      <c r="D21" s="71" t="s">
        <v>173</v>
      </c>
      <c r="E21" s="6">
        <v>25.5</v>
      </c>
      <c r="F21" s="36">
        <v>636</v>
      </c>
      <c r="G21" s="85">
        <v>8.5</v>
      </c>
      <c r="H21" s="9">
        <v>5</v>
      </c>
      <c r="I21" s="37">
        <f t="shared" si="0"/>
        <v>13.5</v>
      </c>
      <c r="J21" s="38">
        <f t="shared" si="7"/>
        <v>5406</v>
      </c>
      <c r="K21" s="38">
        <f t="shared" si="8"/>
        <v>3180</v>
      </c>
      <c r="L21" s="38">
        <f t="shared" si="9"/>
        <v>8586</v>
      </c>
      <c r="M21" s="38">
        <f t="shared" si="10"/>
        <v>4675</v>
      </c>
      <c r="N21" s="39">
        <f t="shared" si="11"/>
        <v>234</v>
      </c>
      <c r="O21" s="38">
        <f t="shared" si="12"/>
        <v>3677</v>
      </c>
      <c r="P21" s="38">
        <f t="shared" si="19"/>
        <v>8586</v>
      </c>
      <c r="Q21" s="39">
        <f t="shared" si="1"/>
        <v>561</v>
      </c>
      <c r="R21" s="39">
        <f t="shared" si="13"/>
        <v>175</v>
      </c>
      <c r="S21" s="39">
        <f t="shared" si="14"/>
        <v>64</v>
      </c>
      <c r="T21" s="39"/>
      <c r="U21" s="6"/>
      <c r="V21" s="4"/>
      <c r="W21" s="7"/>
      <c r="X21" s="2"/>
      <c r="Y21" s="39">
        <f t="shared" si="2"/>
        <v>800</v>
      </c>
      <c r="Z21" s="40">
        <f t="shared" si="3"/>
        <v>7786</v>
      </c>
      <c r="AA21" s="10">
        <v>500</v>
      </c>
      <c r="AB21" s="40">
        <f t="shared" si="15"/>
        <v>7286</v>
      </c>
      <c r="AC21" s="41">
        <f t="shared" si="4"/>
        <v>-7260.5</v>
      </c>
      <c r="AD21" s="42" t="e">
        <f>VLOOKUP(D21,#REF!,2,0)</f>
        <v>#REF!</v>
      </c>
      <c r="AF21" s="42">
        <v>12346</v>
      </c>
      <c r="AG21" s="43">
        <f t="shared" si="5"/>
        <v>5060</v>
      </c>
      <c r="AI21" s="6" t="s">
        <v>97</v>
      </c>
      <c r="AJ21" s="42" t="b">
        <f t="shared" si="6"/>
        <v>0</v>
      </c>
      <c r="AK21" s="6">
        <v>368</v>
      </c>
      <c r="AL21" s="6"/>
      <c r="AM21" s="6">
        <v>5000</v>
      </c>
      <c r="AO21" s="72">
        <v>3315898061</v>
      </c>
      <c r="AP21" s="42" t="b">
        <f t="shared" si="16"/>
        <v>0</v>
      </c>
      <c r="AR21" s="201">
        <f t="shared" si="17"/>
        <v>12</v>
      </c>
      <c r="AS21" s="201">
        <f t="shared" si="18"/>
        <v>7</v>
      </c>
      <c r="AT21" s="42">
        <v>5</v>
      </c>
    </row>
    <row r="22" spans="1:46">
      <c r="A22" s="35">
        <v>12</v>
      </c>
      <c r="B22" s="82">
        <v>102028098436</v>
      </c>
      <c r="C22" s="90">
        <v>3315926963</v>
      </c>
      <c r="D22" s="71" t="s">
        <v>192</v>
      </c>
      <c r="E22" s="6">
        <v>28</v>
      </c>
      <c r="F22" s="36">
        <v>636</v>
      </c>
      <c r="G22" s="86">
        <v>8</v>
      </c>
      <c r="H22" s="9">
        <v>5</v>
      </c>
      <c r="I22" s="37">
        <f t="shared" si="0"/>
        <v>13</v>
      </c>
      <c r="J22" s="38">
        <f t="shared" si="7"/>
        <v>5088</v>
      </c>
      <c r="K22" s="38">
        <f t="shared" si="8"/>
        <v>3180</v>
      </c>
      <c r="L22" s="38">
        <f t="shared" si="9"/>
        <v>8268</v>
      </c>
      <c r="M22" s="38">
        <f t="shared" si="10"/>
        <v>4400</v>
      </c>
      <c r="N22" s="39">
        <f t="shared" si="11"/>
        <v>220</v>
      </c>
      <c r="O22" s="38">
        <f t="shared" si="12"/>
        <v>3648</v>
      </c>
      <c r="P22" s="38">
        <f t="shared" si="19"/>
        <v>8268</v>
      </c>
      <c r="Q22" s="39">
        <f t="shared" si="1"/>
        <v>528</v>
      </c>
      <c r="R22" s="39">
        <f t="shared" si="13"/>
        <v>175</v>
      </c>
      <c r="S22" s="39">
        <f t="shared" si="14"/>
        <v>62</v>
      </c>
      <c r="T22" s="39"/>
      <c r="U22" s="6"/>
      <c r="V22" s="4"/>
      <c r="W22" s="7"/>
      <c r="X22" s="2"/>
      <c r="Y22" s="39">
        <f t="shared" si="2"/>
        <v>765</v>
      </c>
      <c r="Z22" s="40">
        <f t="shared" si="3"/>
        <v>7503</v>
      </c>
      <c r="AA22" s="10">
        <v>500</v>
      </c>
      <c r="AB22" s="40">
        <f t="shared" si="15"/>
        <v>7003</v>
      </c>
      <c r="AC22" s="41">
        <f t="shared" si="4"/>
        <v>-6975</v>
      </c>
      <c r="AD22" s="42" t="e">
        <f>VLOOKUP(D22,#REF!,2,0)</f>
        <v>#REF!</v>
      </c>
      <c r="AE22" s="42" t="s">
        <v>29</v>
      </c>
      <c r="AF22" s="42">
        <v>7303.4</v>
      </c>
      <c r="AG22" s="43">
        <f t="shared" si="5"/>
        <v>300.39999999999964</v>
      </c>
      <c r="AI22" s="6" t="s">
        <v>45</v>
      </c>
      <c r="AJ22" s="42" t="b">
        <f t="shared" si="6"/>
        <v>0</v>
      </c>
      <c r="AK22" s="6">
        <v>325</v>
      </c>
      <c r="AL22" s="6">
        <v>100.08</v>
      </c>
      <c r="AM22" s="6"/>
      <c r="AO22" s="78">
        <v>3316290554</v>
      </c>
      <c r="AP22" s="42" t="b">
        <f t="shared" si="16"/>
        <v>0</v>
      </c>
      <c r="AR22" s="201">
        <f t="shared" si="17"/>
        <v>15</v>
      </c>
      <c r="AS22" s="201">
        <f t="shared" si="18"/>
        <v>10</v>
      </c>
      <c r="AT22" s="42">
        <v>5</v>
      </c>
    </row>
    <row r="23" spans="1:46">
      <c r="A23" s="35">
        <v>13</v>
      </c>
      <c r="B23" s="82">
        <v>102062761038</v>
      </c>
      <c r="C23" s="90">
        <v>3316249185</v>
      </c>
      <c r="D23" s="71" t="s">
        <v>185</v>
      </c>
      <c r="E23" s="6">
        <v>22</v>
      </c>
      <c r="F23" s="36">
        <v>636</v>
      </c>
      <c r="G23" s="85">
        <v>8</v>
      </c>
      <c r="H23" s="9">
        <v>5</v>
      </c>
      <c r="I23" s="37">
        <f t="shared" si="0"/>
        <v>13</v>
      </c>
      <c r="J23" s="38">
        <f t="shared" si="7"/>
        <v>5088</v>
      </c>
      <c r="K23" s="38">
        <f t="shared" si="8"/>
        <v>3180</v>
      </c>
      <c r="L23" s="38">
        <f t="shared" si="9"/>
        <v>8268</v>
      </c>
      <c r="M23" s="38">
        <f t="shared" si="10"/>
        <v>4400</v>
      </c>
      <c r="N23" s="39">
        <f t="shared" si="11"/>
        <v>220</v>
      </c>
      <c r="O23" s="38">
        <f t="shared" si="12"/>
        <v>3648</v>
      </c>
      <c r="P23" s="38">
        <f t="shared" si="19"/>
        <v>8268</v>
      </c>
      <c r="Q23" s="39">
        <f t="shared" si="1"/>
        <v>528</v>
      </c>
      <c r="R23" s="39">
        <f t="shared" si="13"/>
        <v>175</v>
      </c>
      <c r="S23" s="39">
        <f t="shared" si="14"/>
        <v>62</v>
      </c>
      <c r="T23" s="39"/>
      <c r="U23" s="6"/>
      <c r="V23" s="4"/>
      <c r="W23" s="7"/>
      <c r="X23" s="2"/>
      <c r="Y23" s="39">
        <f t="shared" si="2"/>
        <v>765</v>
      </c>
      <c r="Z23" s="40">
        <f t="shared" si="3"/>
        <v>7503</v>
      </c>
      <c r="AA23" s="10">
        <v>500</v>
      </c>
      <c r="AB23" s="40">
        <f t="shared" si="15"/>
        <v>7003</v>
      </c>
      <c r="AC23" s="41">
        <f t="shared" si="4"/>
        <v>-6981</v>
      </c>
      <c r="AD23" s="42" t="e">
        <f>VLOOKUP(D23,#REF!,2,0)</f>
        <v>#REF!</v>
      </c>
      <c r="AF23" s="42">
        <v>3141.75</v>
      </c>
      <c r="AG23" s="43">
        <f t="shared" si="5"/>
        <v>-3861.25</v>
      </c>
      <c r="AI23" s="6" t="s">
        <v>102</v>
      </c>
      <c r="AJ23" s="42" t="b">
        <f t="shared" si="6"/>
        <v>0</v>
      </c>
      <c r="AK23" s="6">
        <v>286</v>
      </c>
      <c r="AL23" s="6">
        <v>16.8</v>
      </c>
      <c r="AM23" s="6"/>
      <c r="AO23" s="72">
        <v>3317055514</v>
      </c>
      <c r="AP23" s="42" t="b">
        <f t="shared" si="16"/>
        <v>0</v>
      </c>
      <c r="AR23" s="201">
        <f t="shared" si="17"/>
        <v>9</v>
      </c>
      <c r="AS23" s="201">
        <f t="shared" si="18"/>
        <v>4</v>
      </c>
      <c r="AT23" s="42">
        <v>5</v>
      </c>
    </row>
    <row r="24" spans="1:46">
      <c r="A24" s="35">
        <v>14</v>
      </c>
      <c r="B24" s="82">
        <v>101966176359</v>
      </c>
      <c r="C24" s="90">
        <v>3315359696</v>
      </c>
      <c r="D24" s="71" t="s">
        <v>203</v>
      </c>
      <c r="E24" s="6">
        <v>18</v>
      </c>
      <c r="F24" s="36">
        <v>636</v>
      </c>
      <c r="G24" s="85">
        <v>11</v>
      </c>
      <c r="H24" s="9">
        <v>5</v>
      </c>
      <c r="I24" s="37">
        <f t="shared" si="0"/>
        <v>16</v>
      </c>
      <c r="J24" s="38">
        <f t="shared" si="7"/>
        <v>6996</v>
      </c>
      <c r="K24" s="38">
        <f t="shared" si="8"/>
        <v>3180</v>
      </c>
      <c r="L24" s="38">
        <f t="shared" si="9"/>
        <v>10176</v>
      </c>
      <c r="M24" s="38">
        <f t="shared" si="10"/>
        <v>6050</v>
      </c>
      <c r="N24" s="39">
        <f t="shared" si="11"/>
        <v>303</v>
      </c>
      <c r="O24" s="38">
        <f t="shared" si="12"/>
        <v>3823</v>
      </c>
      <c r="P24" s="38">
        <f t="shared" si="19"/>
        <v>10176</v>
      </c>
      <c r="Q24" s="39">
        <f t="shared" si="1"/>
        <v>726</v>
      </c>
      <c r="R24" s="39">
        <f t="shared" si="13"/>
        <v>200</v>
      </c>
      <c r="S24" s="39">
        <f t="shared" si="14"/>
        <v>76</v>
      </c>
      <c r="T24" s="39"/>
      <c r="U24" s="6"/>
      <c r="V24" s="4"/>
      <c r="W24" s="7"/>
      <c r="X24" s="2"/>
      <c r="Y24" s="39">
        <f t="shared" si="2"/>
        <v>1002</v>
      </c>
      <c r="Z24" s="40">
        <f t="shared" si="3"/>
        <v>9174</v>
      </c>
      <c r="AA24" s="10">
        <v>500</v>
      </c>
      <c r="AB24" s="40">
        <f t="shared" si="15"/>
        <v>8674</v>
      </c>
      <c r="AC24" s="41">
        <f t="shared" si="4"/>
        <v>-8656</v>
      </c>
      <c r="AD24" s="42" t="e">
        <f>VLOOKUP(D24,#REF!,2,0)</f>
        <v>#REF!</v>
      </c>
      <c r="AF24" s="42">
        <v>9836.4</v>
      </c>
      <c r="AG24" s="43">
        <f t="shared" si="5"/>
        <v>1162.3999999999996</v>
      </c>
      <c r="AI24" s="6" t="s">
        <v>150</v>
      </c>
      <c r="AJ24" s="42" t="b">
        <f t="shared" si="6"/>
        <v>0</v>
      </c>
      <c r="AK24" s="6"/>
      <c r="AL24" s="6"/>
      <c r="AM24" s="6"/>
      <c r="AO24" s="72">
        <v>3316938981</v>
      </c>
      <c r="AP24" s="42" t="b">
        <f t="shared" si="16"/>
        <v>0</v>
      </c>
      <c r="AR24" s="201">
        <f t="shared" si="17"/>
        <v>2</v>
      </c>
      <c r="AS24" s="201">
        <f t="shared" si="18"/>
        <v>-3</v>
      </c>
      <c r="AT24" s="42">
        <v>5</v>
      </c>
    </row>
    <row r="25" spans="1:46">
      <c r="A25" s="35">
        <v>15</v>
      </c>
      <c r="B25" s="82">
        <v>101868848739</v>
      </c>
      <c r="C25" s="90">
        <v>3317632048</v>
      </c>
      <c r="D25" s="71" t="s">
        <v>347</v>
      </c>
      <c r="E25" s="6">
        <v>25</v>
      </c>
      <c r="F25" s="36">
        <v>636</v>
      </c>
      <c r="G25" s="85">
        <v>9</v>
      </c>
      <c r="H25" s="9">
        <v>5</v>
      </c>
      <c r="I25" s="37">
        <f t="shared" si="0"/>
        <v>14</v>
      </c>
      <c r="J25" s="38">
        <f t="shared" si="7"/>
        <v>5724</v>
      </c>
      <c r="K25" s="38">
        <f t="shared" si="8"/>
        <v>3180</v>
      </c>
      <c r="L25" s="38">
        <f t="shared" si="9"/>
        <v>8904</v>
      </c>
      <c r="M25" s="38">
        <f t="shared" si="10"/>
        <v>4950</v>
      </c>
      <c r="N25" s="39">
        <f t="shared" si="11"/>
        <v>248</v>
      </c>
      <c r="O25" s="38">
        <f t="shared" si="12"/>
        <v>3706</v>
      </c>
      <c r="P25" s="38">
        <f t="shared" si="19"/>
        <v>8904</v>
      </c>
      <c r="Q25" s="39">
        <f t="shared" si="1"/>
        <v>594</v>
      </c>
      <c r="R25" s="39">
        <f t="shared" si="13"/>
        <v>175</v>
      </c>
      <c r="S25" s="39">
        <f t="shared" si="14"/>
        <v>67</v>
      </c>
      <c r="T25" s="39"/>
      <c r="U25" s="6"/>
      <c r="V25" s="4"/>
      <c r="W25" s="7"/>
      <c r="X25" s="2"/>
      <c r="Y25" s="39">
        <f t="shared" si="2"/>
        <v>836</v>
      </c>
      <c r="Z25" s="40">
        <f t="shared" si="3"/>
        <v>8068</v>
      </c>
      <c r="AA25" s="10">
        <v>500</v>
      </c>
      <c r="AB25" s="40">
        <f t="shared" si="15"/>
        <v>7568</v>
      </c>
      <c r="AC25" s="41">
        <f t="shared" si="4"/>
        <v>-7543</v>
      </c>
      <c r="AD25" s="42" t="e">
        <f>VLOOKUP(D25,#REF!,2,0)</f>
        <v>#REF!</v>
      </c>
      <c r="AE25" s="42" t="s">
        <v>86</v>
      </c>
      <c r="AF25" s="42">
        <v>7474.4</v>
      </c>
      <c r="AG25" s="43">
        <f t="shared" si="5"/>
        <v>-93.600000000000364</v>
      </c>
      <c r="AI25" s="6" t="s">
        <v>116</v>
      </c>
      <c r="AJ25" s="42" t="b">
        <f t="shared" si="6"/>
        <v>0</v>
      </c>
      <c r="AK25" s="6"/>
      <c r="AL25" s="6"/>
      <c r="AM25" s="6"/>
      <c r="AO25" s="78">
        <v>3316249185</v>
      </c>
      <c r="AP25" s="42" t="b">
        <f t="shared" si="16"/>
        <v>0</v>
      </c>
      <c r="AR25" s="201">
        <f t="shared" si="17"/>
        <v>11</v>
      </c>
      <c r="AS25" s="201">
        <f t="shared" si="18"/>
        <v>6</v>
      </c>
      <c r="AT25" s="42">
        <v>5</v>
      </c>
    </row>
    <row r="26" spans="1:46">
      <c r="A26" s="35">
        <v>16</v>
      </c>
      <c r="B26" s="89">
        <v>101972731570</v>
      </c>
      <c r="C26" s="90">
        <v>3315397620</v>
      </c>
      <c r="D26" s="71" t="s">
        <v>200</v>
      </c>
      <c r="E26" s="6">
        <v>28.5</v>
      </c>
      <c r="F26" s="36">
        <v>636</v>
      </c>
      <c r="G26" s="85">
        <v>10.5</v>
      </c>
      <c r="H26" s="9">
        <v>5</v>
      </c>
      <c r="I26" s="37">
        <f t="shared" si="0"/>
        <v>15.5</v>
      </c>
      <c r="J26" s="38">
        <f t="shared" si="7"/>
        <v>6678</v>
      </c>
      <c r="K26" s="38">
        <f t="shared" si="8"/>
        <v>3180</v>
      </c>
      <c r="L26" s="38">
        <f t="shared" si="9"/>
        <v>9858</v>
      </c>
      <c r="M26" s="38">
        <f t="shared" si="10"/>
        <v>5775</v>
      </c>
      <c r="N26" s="39">
        <f t="shared" si="11"/>
        <v>289</v>
      </c>
      <c r="O26" s="38">
        <f t="shared" si="12"/>
        <v>3794</v>
      </c>
      <c r="P26" s="38">
        <f t="shared" si="19"/>
        <v>9858</v>
      </c>
      <c r="Q26" s="39">
        <f t="shared" si="1"/>
        <v>693</v>
      </c>
      <c r="R26" s="39">
        <f t="shared" si="13"/>
        <v>175</v>
      </c>
      <c r="S26" s="39">
        <f t="shared" si="14"/>
        <v>74</v>
      </c>
      <c r="T26" s="39"/>
      <c r="U26" s="6"/>
      <c r="V26" s="4"/>
      <c r="W26" s="7"/>
      <c r="X26" s="2"/>
      <c r="Y26" s="39">
        <f t="shared" si="2"/>
        <v>942</v>
      </c>
      <c r="Z26" s="40">
        <f t="shared" si="3"/>
        <v>8916</v>
      </c>
      <c r="AA26" s="10">
        <v>500</v>
      </c>
      <c r="AB26" s="40">
        <f t="shared" si="15"/>
        <v>8416</v>
      </c>
      <c r="AC26" s="41">
        <f t="shared" si="4"/>
        <v>-8387.5</v>
      </c>
      <c r="AD26" s="42" t="e">
        <f>VLOOKUP(D26,#REF!,2,0)</f>
        <v>#REF!</v>
      </c>
      <c r="AE26" s="42" t="s">
        <v>45</v>
      </c>
      <c r="AF26" s="42">
        <v>8807.1</v>
      </c>
      <c r="AG26" s="43">
        <f t="shared" si="5"/>
        <v>391.10000000000036</v>
      </c>
      <c r="AI26" s="6" t="s">
        <v>143</v>
      </c>
      <c r="AJ26" s="42" t="b">
        <f t="shared" si="6"/>
        <v>0</v>
      </c>
      <c r="AK26" s="6">
        <v>392</v>
      </c>
      <c r="AL26" s="6"/>
      <c r="AM26" s="6"/>
      <c r="AO26" s="72">
        <v>3315359696</v>
      </c>
      <c r="AP26" s="42" t="b">
        <f t="shared" si="16"/>
        <v>0</v>
      </c>
      <c r="AR26" s="201">
        <f t="shared" si="17"/>
        <v>13</v>
      </c>
      <c r="AS26" s="201">
        <f t="shared" si="18"/>
        <v>8</v>
      </c>
      <c r="AT26" s="42">
        <v>5</v>
      </c>
    </row>
    <row r="27" spans="1:46">
      <c r="A27" s="35">
        <v>17</v>
      </c>
      <c r="B27" s="82">
        <v>102004077854</v>
      </c>
      <c r="C27" s="90">
        <v>3315667432</v>
      </c>
      <c r="D27" s="71" t="s">
        <v>198</v>
      </c>
      <c r="E27" s="6">
        <v>22</v>
      </c>
      <c r="F27" s="36">
        <v>636</v>
      </c>
      <c r="G27" s="85">
        <v>5</v>
      </c>
      <c r="H27" s="9">
        <v>5</v>
      </c>
      <c r="I27" s="37">
        <f t="shared" si="0"/>
        <v>10</v>
      </c>
      <c r="J27" s="38">
        <f t="shared" si="7"/>
        <v>3180</v>
      </c>
      <c r="K27" s="38">
        <f t="shared" si="8"/>
        <v>3180</v>
      </c>
      <c r="L27" s="38">
        <f t="shared" si="9"/>
        <v>6360</v>
      </c>
      <c r="M27" s="38">
        <f t="shared" si="10"/>
        <v>2750</v>
      </c>
      <c r="N27" s="39">
        <f t="shared" si="11"/>
        <v>138</v>
      </c>
      <c r="O27" s="38">
        <f t="shared" si="12"/>
        <v>3472</v>
      </c>
      <c r="P27" s="38">
        <f t="shared" si="19"/>
        <v>6360</v>
      </c>
      <c r="Q27" s="39">
        <f t="shared" si="1"/>
        <v>330</v>
      </c>
      <c r="R27" s="39">
        <f t="shared" si="13"/>
        <v>0</v>
      </c>
      <c r="S27" s="39">
        <f t="shared" si="14"/>
        <v>48</v>
      </c>
      <c r="T27" s="39"/>
      <c r="U27" s="6"/>
      <c r="V27" s="4"/>
      <c r="W27" s="7"/>
      <c r="X27" s="2"/>
      <c r="Y27" s="39">
        <f t="shared" si="2"/>
        <v>378</v>
      </c>
      <c r="Z27" s="40">
        <f t="shared" si="3"/>
        <v>5982</v>
      </c>
      <c r="AA27" s="10">
        <v>500</v>
      </c>
      <c r="AB27" s="40">
        <f t="shared" si="15"/>
        <v>5482</v>
      </c>
      <c r="AC27" s="41">
        <f t="shared" si="4"/>
        <v>-5460</v>
      </c>
      <c r="AD27" s="42" t="e">
        <f>VLOOKUP(D27,#REF!,2,0)</f>
        <v>#REF!</v>
      </c>
      <c r="AF27" s="42">
        <v>10195</v>
      </c>
      <c r="AG27" s="43">
        <f t="shared" si="5"/>
        <v>4713</v>
      </c>
      <c r="AI27" s="6" t="s">
        <v>142</v>
      </c>
      <c r="AJ27" s="42" t="b">
        <f t="shared" si="6"/>
        <v>0</v>
      </c>
      <c r="AK27" s="6">
        <v>367</v>
      </c>
      <c r="AL27" s="6">
        <v>84</v>
      </c>
      <c r="AM27" s="6"/>
      <c r="AO27" s="72">
        <v>3315397620</v>
      </c>
      <c r="AP27" s="42" t="b">
        <f t="shared" si="16"/>
        <v>0</v>
      </c>
      <c r="AR27" s="201">
        <f t="shared" si="17"/>
        <v>12</v>
      </c>
      <c r="AS27" s="201">
        <f t="shared" si="18"/>
        <v>7</v>
      </c>
      <c r="AT27" s="42">
        <v>5</v>
      </c>
    </row>
    <row r="28" spans="1:46">
      <c r="A28" s="35">
        <v>18</v>
      </c>
      <c r="B28" s="82">
        <v>101388345766</v>
      </c>
      <c r="C28" s="90">
        <v>3310279715</v>
      </c>
      <c r="D28" s="71" t="s">
        <v>211</v>
      </c>
      <c r="E28" s="6">
        <v>23</v>
      </c>
      <c r="F28" s="36">
        <v>636</v>
      </c>
      <c r="G28" s="85">
        <v>9</v>
      </c>
      <c r="H28" s="9">
        <v>5</v>
      </c>
      <c r="I28" s="37">
        <f t="shared" si="0"/>
        <v>14</v>
      </c>
      <c r="J28" s="38">
        <f t="shared" si="7"/>
        <v>5724</v>
      </c>
      <c r="K28" s="38">
        <f t="shared" si="8"/>
        <v>3180</v>
      </c>
      <c r="L28" s="38">
        <f t="shared" si="9"/>
        <v>8904</v>
      </c>
      <c r="M28" s="38">
        <f t="shared" si="10"/>
        <v>4950</v>
      </c>
      <c r="N28" s="39">
        <f t="shared" si="11"/>
        <v>248</v>
      </c>
      <c r="O28" s="38">
        <f t="shared" si="12"/>
        <v>3706</v>
      </c>
      <c r="P28" s="38">
        <f t="shared" si="19"/>
        <v>8904</v>
      </c>
      <c r="Q28" s="39">
        <f t="shared" si="1"/>
        <v>594</v>
      </c>
      <c r="R28" s="39">
        <f t="shared" si="13"/>
        <v>175</v>
      </c>
      <c r="S28" s="39">
        <f t="shared" si="14"/>
        <v>67</v>
      </c>
      <c r="T28" s="39"/>
      <c r="U28" s="6"/>
      <c r="V28" s="4"/>
      <c r="W28" s="7"/>
      <c r="X28" s="2"/>
      <c r="Y28" s="39">
        <f t="shared" si="2"/>
        <v>836</v>
      </c>
      <c r="Z28" s="40">
        <f t="shared" si="3"/>
        <v>8068</v>
      </c>
      <c r="AA28" s="10">
        <v>500</v>
      </c>
      <c r="AB28" s="40">
        <f t="shared" si="15"/>
        <v>7568</v>
      </c>
      <c r="AC28" s="41">
        <f t="shared" si="4"/>
        <v>-7545</v>
      </c>
      <c r="AD28" s="42" t="e">
        <f>VLOOKUP(D28,#REF!,2,0)</f>
        <v>#REF!</v>
      </c>
      <c r="AE28" s="42" t="s">
        <v>30</v>
      </c>
      <c r="AF28" s="42">
        <v>8592.0499999999993</v>
      </c>
      <c r="AG28" s="43">
        <f t="shared" si="5"/>
        <v>1024.0499999999993</v>
      </c>
      <c r="AI28" s="6" t="s">
        <v>141</v>
      </c>
      <c r="AJ28" s="42" t="b">
        <f t="shared" si="6"/>
        <v>0</v>
      </c>
      <c r="AK28" s="6">
        <v>245</v>
      </c>
      <c r="AL28" s="6">
        <v>50</v>
      </c>
      <c r="AM28" s="6"/>
      <c r="AO28" s="72">
        <v>3315667432</v>
      </c>
      <c r="AP28" s="42" t="b">
        <f t="shared" si="16"/>
        <v>0</v>
      </c>
      <c r="AR28" s="201">
        <f t="shared" si="17"/>
        <v>9</v>
      </c>
      <c r="AS28" s="201">
        <f t="shared" si="18"/>
        <v>4</v>
      </c>
      <c r="AT28" s="42">
        <v>5</v>
      </c>
    </row>
    <row r="29" spans="1:46">
      <c r="A29" s="35">
        <v>19</v>
      </c>
      <c r="B29" s="82">
        <v>100590315745</v>
      </c>
      <c r="C29" s="90">
        <v>3315291117</v>
      </c>
      <c r="D29" s="71" t="s">
        <v>356</v>
      </c>
      <c r="E29" s="6">
        <v>23</v>
      </c>
      <c r="F29" s="36">
        <v>636</v>
      </c>
      <c r="G29" s="86">
        <v>8</v>
      </c>
      <c r="H29" s="9">
        <v>5</v>
      </c>
      <c r="I29" s="37">
        <f t="shared" si="0"/>
        <v>13</v>
      </c>
      <c r="J29" s="38">
        <f t="shared" si="7"/>
        <v>5088</v>
      </c>
      <c r="K29" s="38">
        <f t="shared" si="8"/>
        <v>3180</v>
      </c>
      <c r="L29" s="38">
        <f t="shared" si="9"/>
        <v>8268</v>
      </c>
      <c r="M29" s="38">
        <f t="shared" si="10"/>
        <v>4400</v>
      </c>
      <c r="N29" s="39">
        <f t="shared" si="11"/>
        <v>220</v>
      </c>
      <c r="O29" s="38">
        <f t="shared" si="12"/>
        <v>3648</v>
      </c>
      <c r="P29" s="38">
        <f t="shared" si="19"/>
        <v>8268</v>
      </c>
      <c r="Q29" s="39">
        <f t="shared" si="1"/>
        <v>528</v>
      </c>
      <c r="R29" s="39">
        <f t="shared" si="13"/>
        <v>175</v>
      </c>
      <c r="S29" s="39">
        <f t="shared" si="14"/>
        <v>62</v>
      </c>
      <c r="T29" s="39"/>
      <c r="U29" s="6"/>
      <c r="V29" s="4"/>
      <c r="W29" s="7"/>
      <c r="X29" s="2"/>
      <c r="Y29" s="39">
        <f t="shared" si="2"/>
        <v>765</v>
      </c>
      <c r="Z29" s="40">
        <f t="shared" si="3"/>
        <v>7503</v>
      </c>
      <c r="AA29" s="10">
        <v>500</v>
      </c>
      <c r="AB29" s="40">
        <f t="shared" si="15"/>
        <v>7003</v>
      </c>
      <c r="AC29" s="41">
        <f t="shared" si="4"/>
        <v>-6980</v>
      </c>
      <c r="AD29" s="42" t="e">
        <f>VLOOKUP(D29,#REF!,2,0)</f>
        <v>#REF!</v>
      </c>
      <c r="AE29" s="42" t="s">
        <v>46</v>
      </c>
      <c r="AF29" s="42">
        <v>7890.75</v>
      </c>
      <c r="AG29" s="43">
        <f t="shared" si="5"/>
        <v>887.75</v>
      </c>
      <c r="AI29" s="6" t="s">
        <v>107</v>
      </c>
      <c r="AJ29" s="42" t="b">
        <f t="shared" si="6"/>
        <v>0</v>
      </c>
      <c r="AK29" s="6">
        <v>497</v>
      </c>
      <c r="AL29" s="6"/>
      <c r="AM29" s="6"/>
      <c r="AO29" s="72">
        <v>3315926963</v>
      </c>
      <c r="AP29" s="42" t="b">
        <f t="shared" si="16"/>
        <v>0</v>
      </c>
      <c r="AR29" s="201">
        <f t="shared" si="17"/>
        <v>10</v>
      </c>
      <c r="AS29" s="201">
        <f t="shared" si="18"/>
        <v>5</v>
      </c>
      <c r="AT29" s="42">
        <v>5</v>
      </c>
    </row>
    <row r="30" spans="1:46">
      <c r="A30" s="35">
        <v>20</v>
      </c>
      <c r="B30" s="82">
        <v>101391642731</v>
      </c>
      <c r="C30" s="90">
        <v>3310860091</v>
      </c>
      <c r="D30" s="71" t="s">
        <v>231</v>
      </c>
      <c r="E30" s="6">
        <v>24</v>
      </c>
      <c r="F30" s="36">
        <v>636</v>
      </c>
      <c r="G30" s="86">
        <v>9</v>
      </c>
      <c r="H30" s="9">
        <v>5</v>
      </c>
      <c r="I30" s="37">
        <f t="shared" si="0"/>
        <v>14</v>
      </c>
      <c r="J30" s="38">
        <f t="shared" si="7"/>
        <v>5724</v>
      </c>
      <c r="K30" s="38">
        <f t="shared" si="8"/>
        <v>3180</v>
      </c>
      <c r="L30" s="38">
        <f t="shared" si="9"/>
        <v>8904</v>
      </c>
      <c r="M30" s="38">
        <f t="shared" si="10"/>
        <v>4950</v>
      </c>
      <c r="N30" s="39">
        <f t="shared" si="11"/>
        <v>248</v>
      </c>
      <c r="O30" s="38">
        <f t="shared" si="12"/>
        <v>3706</v>
      </c>
      <c r="P30" s="38">
        <f t="shared" si="19"/>
        <v>8904</v>
      </c>
      <c r="Q30" s="39">
        <f t="shared" si="1"/>
        <v>594</v>
      </c>
      <c r="R30" s="39">
        <f t="shared" si="13"/>
        <v>175</v>
      </c>
      <c r="S30" s="39">
        <f t="shared" si="14"/>
        <v>67</v>
      </c>
      <c r="T30" s="39"/>
      <c r="U30" s="6"/>
      <c r="V30" s="4"/>
      <c r="W30" s="7"/>
      <c r="X30" s="2"/>
      <c r="Y30" s="39">
        <f t="shared" si="2"/>
        <v>836</v>
      </c>
      <c r="Z30" s="40">
        <f t="shared" si="3"/>
        <v>8068</v>
      </c>
      <c r="AA30" s="10">
        <v>500</v>
      </c>
      <c r="AB30" s="40">
        <f t="shared" si="15"/>
        <v>7568</v>
      </c>
      <c r="AC30" s="41">
        <f t="shared" si="4"/>
        <v>-7544</v>
      </c>
      <c r="AD30" s="42" t="e">
        <f>VLOOKUP(D30,#REF!,2,0)</f>
        <v>#REF!</v>
      </c>
      <c r="AE30" s="42" t="s">
        <v>12</v>
      </c>
      <c r="AF30" s="42">
        <v>10616.1</v>
      </c>
      <c r="AG30" s="43">
        <f t="shared" si="5"/>
        <v>3048.1000000000004</v>
      </c>
      <c r="AI30" s="6" t="s">
        <v>144</v>
      </c>
      <c r="AJ30" s="42" t="b">
        <f t="shared" si="6"/>
        <v>0</v>
      </c>
      <c r="AK30" s="6">
        <v>433</v>
      </c>
      <c r="AL30" s="6">
        <v>50</v>
      </c>
      <c r="AM30" s="6"/>
      <c r="AO30" s="72">
        <v>3314106884</v>
      </c>
      <c r="AP30" s="42" t="b">
        <f t="shared" si="16"/>
        <v>0</v>
      </c>
      <c r="AR30" s="201">
        <f t="shared" si="17"/>
        <v>10</v>
      </c>
      <c r="AS30" s="201">
        <f t="shared" si="18"/>
        <v>5</v>
      </c>
      <c r="AT30" s="42">
        <v>5</v>
      </c>
    </row>
    <row r="31" spans="1:46">
      <c r="A31" s="35">
        <v>21</v>
      </c>
      <c r="B31" s="82">
        <v>101951607402</v>
      </c>
      <c r="C31" s="90">
        <v>3315195309</v>
      </c>
      <c r="D31" s="71" t="s">
        <v>207</v>
      </c>
      <c r="E31" s="6">
        <v>31</v>
      </c>
      <c r="F31" s="36">
        <v>636</v>
      </c>
      <c r="G31" s="85">
        <v>11</v>
      </c>
      <c r="H31" s="9">
        <v>5</v>
      </c>
      <c r="I31" s="37">
        <f t="shared" si="0"/>
        <v>16</v>
      </c>
      <c r="J31" s="38">
        <f t="shared" si="7"/>
        <v>6996</v>
      </c>
      <c r="K31" s="38">
        <f t="shared" si="8"/>
        <v>3180</v>
      </c>
      <c r="L31" s="38">
        <f t="shared" si="9"/>
        <v>10176</v>
      </c>
      <c r="M31" s="38">
        <f t="shared" si="10"/>
        <v>6050</v>
      </c>
      <c r="N31" s="39">
        <f t="shared" si="11"/>
        <v>303</v>
      </c>
      <c r="O31" s="38">
        <f t="shared" si="12"/>
        <v>3823</v>
      </c>
      <c r="P31" s="38">
        <f t="shared" si="19"/>
        <v>10176</v>
      </c>
      <c r="Q31" s="39">
        <f t="shared" si="1"/>
        <v>726</v>
      </c>
      <c r="R31" s="39">
        <f t="shared" si="13"/>
        <v>200</v>
      </c>
      <c r="S31" s="39">
        <f t="shared" si="14"/>
        <v>76</v>
      </c>
      <c r="T31" s="39"/>
      <c r="U31" s="6"/>
      <c r="V31" s="4"/>
      <c r="W31" s="7"/>
      <c r="X31" s="2"/>
      <c r="Y31" s="39">
        <f t="shared" si="2"/>
        <v>1002</v>
      </c>
      <c r="Z31" s="40">
        <f t="shared" si="3"/>
        <v>9174</v>
      </c>
      <c r="AA31" s="10">
        <v>500</v>
      </c>
      <c r="AB31" s="40">
        <f t="shared" si="15"/>
        <v>8674</v>
      </c>
      <c r="AC31" s="41">
        <f t="shared" si="4"/>
        <v>-8643</v>
      </c>
      <c r="AD31" s="42" t="e">
        <f>VLOOKUP(D31,#REF!,2,0)</f>
        <v>#REF!</v>
      </c>
      <c r="AE31" s="42" t="s">
        <v>16</v>
      </c>
      <c r="AF31" s="42">
        <v>10818.8</v>
      </c>
      <c r="AG31" s="43">
        <f t="shared" si="5"/>
        <v>2144.7999999999993</v>
      </c>
      <c r="AI31" s="6" t="s">
        <v>119</v>
      </c>
      <c r="AJ31" s="42" t="b">
        <f t="shared" si="6"/>
        <v>0</v>
      </c>
      <c r="AK31" s="6">
        <v>424</v>
      </c>
      <c r="AL31" s="6">
        <v>92</v>
      </c>
      <c r="AM31" s="6"/>
      <c r="AO31" s="72">
        <v>3315291117</v>
      </c>
      <c r="AP31" s="42" t="b">
        <f t="shared" si="16"/>
        <v>0</v>
      </c>
      <c r="AR31" s="201">
        <f t="shared" si="17"/>
        <v>15</v>
      </c>
      <c r="AS31" s="201">
        <f t="shared" si="18"/>
        <v>10</v>
      </c>
      <c r="AT31" s="42">
        <v>5</v>
      </c>
    </row>
    <row r="32" spans="1:46">
      <c r="A32" s="35">
        <v>22</v>
      </c>
      <c r="B32" s="82">
        <v>102053057886</v>
      </c>
      <c r="C32" s="90">
        <v>3316182475</v>
      </c>
      <c r="D32" s="71" t="s">
        <v>188</v>
      </c>
      <c r="E32" s="6">
        <v>14</v>
      </c>
      <c r="F32" s="36">
        <v>636</v>
      </c>
      <c r="G32" s="85">
        <v>0</v>
      </c>
      <c r="H32" s="9"/>
      <c r="I32" s="37">
        <f t="shared" si="0"/>
        <v>0</v>
      </c>
      <c r="J32" s="38">
        <f t="shared" si="7"/>
        <v>0</v>
      </c>
      <c r="K32" s="38">
        <f t="shared" si="8"/>
        <v>0</v>
      </c>
      <c r="L32" s="38">
        <f t="shared" si="9"/>
        <v>0</v>
      </c>
      <c r="M32" s="38">
        <f t="shared" si="10"/>
        <v>0</v>
      </c>
      <c r="N32" s="39">
        <f t="shared" si="11"/>
        <v>0</v>
      </c>
      <c r="O32" s="38">
        <f t="shared" si="12"/>
        <v>0</v>
      </c>
      <c r="P32" s="38">
        <f t="shared" si="19"/>
        <v>0</v>
      </c>
      <c r="Q32" s="39">
        <f t="shared" si="1"/>
        <v>0</v>
      </c>
      <c r="R32" s="39">
        <f t="shared" si="13"/>
        <v>0</v>
      </c>
      <c r="S32" s="39">
        <f t="shared" si="14"/>
        <v>0</v>
      </c>
      <c r="T32" s="39"/>
      <c r="U32" s="6"/>
      <c r="V32" s="4"/>
      <c r="W32" s="7"/>
      <c r="X32" s="2"/>
      <c r="Y32" s="39">
        <f t="shared" si="2"/>
        <v>0</v>
      </c>
      <c r="Z32" s="40">
        <f t="shared" si="3"/>
        <v>0</v>
      </c>
      <c r="AA32" s="10">
        <v>500</v>
      </c>
      <c r="AB32" s="40">
        <f t="shared" si="15"/>
        <v>-500</v>
      </c>
      <c r="AC32" s="41">
        <f t="shared" si="4"/>
        <v>514</v>
      </c>
      <c r="AD32" s="42" t="e">
        <f>VLOOKUP(D32,#REF!,2,0)</f>
        <v>#REF!</v>
      </c>
      <c r="AE32" s="42" t="s">
        <v>22</v>
      </c>
      <c r="AF32" s="42">
        <v>11975.7</v>
      </c>
      <c r="AG32" s="43">
        <f t="shared" si="5"/>
        <v>12475.7</v>
      </c>
      <c r="AI32" s="6" t="s">
        <v>128</v>
      </c>
      <c r="AJ32" s="42" t="b">
        <f t="shared" si="6"/>
        <v>0</v>
      </c>
      <c r="AK32" s="6">
        <v>220</v>
      </c>
      <c r="AL32" s="6">
        <v>84</v>
      </c>
      <c r="AM32" s="6"/>
      <c r="AO32" s="72">
        <v>3310860091</v>
      </c>
      <c r="AP32" s="42" t="b">
        <f t="shared" si="16"/>
        <v>0</v>
      </c>
      <c r="AR32" s="201">
        <f t="shared" si="17"/>
        <v>14</v>
      </c>
      <c r="AS32" s="201">
        <f t="shared" si="18"/>
        <v>9</v>
      </c>
      <c r="AT32" s="42">
        <v>5</v>
      </c>
    </row>
    <row r="33" spans="1:46">
      <c r="A33" s="35">
        <v>23</v>
      </c>
      <c r="B33" s="82">
        <v>102052667942</v>
      </c>
      <c r="C33" s="90">
        <v>3316185594</v>
      </c>
      <c r="D33" s="71" t="s">
        <v>189</v>
      </c>
      <c r="E33" s="6">
        <v>15</v>
      </c>
      <c r="F33" s="36">
        <v>636</v>
      </c>
      <c r="G33" s="85">
        <v>7</v>
      </c>
      <c r="H33" s="9">
        <v>5</v>
      </c>
      <c r="I33" s="37">
        <f t="shared" si="0"/>
        <v>12</v>
      </c>
      <c r="J33" s="38">
        <f t="shared" si="7"/>
        <v>4452</v>
      </c>
      <c r="K33" s="38">
        <f t="shared" si="8"/>
        <v>3180</v>
      </c>
      <c r="L33" s="38">
        <f t="shared" si="9"/>
        <v>7632</v>
      </c>
      <c r="M33" s="38">
        <f t="shared" si="10"/>
        <v>3850</v>
      </c>
      <c r="N33" s="39">
        <f t="shared" si="11"/>
        <v>193</v>
      </c>
      <c r="O33" s="38">
        <f t="shared" si="12"/>
        <v>3589</v>
      </c>
      <c r="P33" s="38">
        <f t="shared" si="19"/>
        <v>7632</v>
      </c>
      <c r="Q33" s="39">
        <f t="shared" si="1"/>
        <v>462</v>
      </c>
      <c r="R33" s="39">
        <f t="shared" si="13"/>
        <v>175</v>
      </c>
      <c r="S33" s="39">
        <f t="shared" si="14"/>
        <v>57</v>
      </c>
      <c r="T33" s="39"/>
      <c r="U33" s="6"/>
      <c r="V33" s="4"/>
      <c r="W33" s="7"/>
      <c r="X33" s="2"/>
      <c r="Y33" s="39">
        <f t="shared" si="2"/>
        <v>694</v>
      </c>
      <c r="Z33" s="40">
        <f t="shared" si="3"/>
        <v>6938</v>
      </c>
      <c r="AA33" s="10">
        <v>500</v>
      </c>
      <c r="AB33" s="40">
        <f t="shared" si="15"/>
        <v>6438</v>
      </c>
      <c r="AC33" s="41">
        <f t="shared" si="4"/>
        <v>-6423</v>
      </c>
      <c r="AD33" s="42" t="e">
        <f>VLOOKUP(D33,#REF!,2,0)</f>
        <v>#REF!</v>
      </c>
      <c r="AE33" s="42" t="s">
        <v>23</v>
      </c>
      <c r="AF33" s="42">
        <v>10122.4</v>
      </c>
      <c r="AG33" s="43">
        <f t="shared" si="5"/>
        <v>3684.3999999999996</v>
      </c>
      <c r="AI33" s="6" t="s">
        <v>145</v>
      </c>
      <c r="AJ33" s="42" t="b">
        <f t="shared" si="6"/>
        <v>0</v>
      </c>
      <c r="AK33" s="6">
        <v>243</v>
      </c>
      <c r="AL33" s="6"/>
      <c r="AM33" s="6"/>
      <c r="AO33" s="72">
        <v>3315195309</v>
      </c>
      <c r="AP33" s="42" t="b">
        <f t="shared" si="16"/>
        <v>0</v>
      </c>
      <c r="AR33" s="201">
        <f t="shared" si="17"/>
        <v>3</v>
      </c>
      <c r="AS33" s="201">
        <f t="shared" si="18"/>
        <v>-2</v>
      </c>
      <c r="AT33" s="42">
        <v>5</v>
      </c>
    </row>
    <row r="34" spans="1:46">
      <c r="A34" s="35">
        <v>24</v>
      </c>
      <c r="B34" s="82">
        <v>101976571122</v>
      </c>
      <c r="C34" s="90">
        <v>3315689420</v>
      </c>
      <c r="D34" s="71" t="s">
        <v>197</v>
      </c>
      <c r="E34" s="6">
        <v>30</v>
      </c>
      <c r="F34" s="36">
        <v>636</v>
      </c>
      <c r="G34" s="85">
        <v>10</v>
      </c>
      <c r="H34" s="9">
        <v>5</v>
      </c>
      <c r="I34" s="37">
        <f t="shared" si="0"/>
        <v>15</v>
      </c>
      <c r="J34" s="38">
        <f t="shared" si="7"/>
        <v>6360</v>
      </c>
      <c r="K34" s="38">
        <f t="shared" si="8"/>
        <v>3180</v>
      </c>
      <c r="L34" s="38">
        <f t="shared" si="9"/>
        <v>9540</v>
      </c>
      <c r="M34" s="38">
        <f t="shared" si="10"/>
        <v>5500</v>
      </c>
      <c r="N34" s="39">
        <f t="shared" si="11"/>
        <v>275</v>
      </c>
      <c r="O34" s="38">
        <f t="shared" si="12"/>
        <v>3765</v>
      </c>
      <c r="P34" s="38">
        <f t="shared" si="19"/>
        <v>9540</v>
      </c>
      <c r="Q34" s="39">
        <f t="shared" si="1"/>
        <v>660</v>
      </c>
      <c r="R34" s="39">
        <f t="shared" si="13"/>
        <v>175</v>
      </c>
      <c r="S34" s="39">
        <f t="shared" si="14"/>
        <v>72</v>
      </c>
      <c r="T34" s="39"/>
      <c r="U34" s="6"/>
      <c r="V34" s="4"/>
      <c r="W34" s="7"/>
      <c r="X34" s="2"/>
      <c r="Y34" s="39">
        <f t="shared" si="2"/>
        <v>907</v>
      </c>
      <c r="Z34" s="40">
        <f t="shared" si="3"/>
        <v>8633</v>
      </c>
      <c r="AA34" s="10">
        <v>500</v>
      </c>
      <c r="AB34" s="40">
        <f t="shared" si="15"/>
        <v>8133</v>
      </c>
      <c r="AC34" s="41">
        <f t="shared" si="4"/>
        <v>-8103</v>
      </c>
      <c r="AD34" s="42" t="e">
        <f>VLOOKUP(D34,#REF!,2,0)</f>
        <v>#REF!</v>
      </c>
      <c r="AF34" s="42">
        <v>11970.4</v>
      </c>
      <c r="AG34" s="43">
        <f t="shared" si="5"/>
        <v>3837.3999999999996</v>
      </c>
      <c r="AI34" s="6" t="s">
        <v>131</v>
      </c>
      <c r="AJ34" s="42" t="b">
        <f t="shared" si="6"/>
        <v>0</v>
      </c>
      <c r="AK34" s="6">
        <v>190</v>
      </c>
      <c r="AL34" s="6"/>
      <c r="AM34" s="6"/>
      <c r="AO34" s="72">
        <v>3316182475</v>
      </c>
      <c r="AP34" s="42" t="b">
        <f t="shared" si="16"/>
        <v>0</v>
      </c>
      <c r="AR34" s="201">
        <f t="shared" si="17"/>
        <v>15</v>
      </c>
      <c r="AS34" s="201">
        <f t="shared" si="18"/>
        <v>10</v>
      </c>
      <c r="AT34" s="42">
        <v>5</v>
      </c>
    </row>
    <row r="35" spans="1:46">
      <c r="A35" s="35">
        <v>25</v>
      </c>
      <c r="B35" s="82">
        <v>102081665259</v>
      </c>
      <c r="C35" s="90">
        <v>3316492655</v>
      </c>
      <c r="D35" s="71" t="s">
        <v>180</v>
      </c>
      <c r="E35" s="6">
        <v>23</v>
      </c>
      <c r="F35" s="36">
        <v>636</v>
      </c>
      <c r="G35" s="85">
        <v>6</v>
      </c>
      <c r="H35" s="9">
        <v>5</v>
      </c>
      <c r="I35" s="37">
        <f t="shared" si="0"/>
        <v>11</v>
      </c>
      <c r="J35" s="38">
        <f t="shared" si="7"/>
        <v>3816</v>
      </c>
      <c r="K35" s="38">
        <f t="shared" si="8"/>
        <v>3180</v>
      </c>
      <c r="L35" s="38">
        <f t="shared" si="9"/>
        <v>6996</v>
      </c>
      <c r="M35" s="38">
        <f t="shared" si="10"/>
        <v>3300</v>
      </c>
      <c r="N35" s="39">
        <f t="shared" si="11"/>
        <v>165</v>
      </c>
      <c r="O35" s="38">
        <f t="shared" si="12"/>
        <v>3531</v>
      </c>
      <c r="P35" s="38">
        <f t="shared" si="19"/>
        <v>6996</v>
      </c>
      <c r="Q35" s="39">
        <f t="shared" si="1"/>
        <v>396</v>
      </c>
      <c r="R35" s="39">
        <f t="shared" si="13"/>
        <v>0</v>
      </c>
      <c r="S35" s="39">
        <f t="shared" si="14"/>
        <v>52</v>
      </c>
      <c r="T35" s="39"/>
      <c r="U35" s="6"/>
      <c r="V35" s="4"/>
      <c r="W35" s="7"/>
      <c r="X35" s="2"/>
      <c r="Y35" s="39">
        <f t="shared" si="2"/>
        <v>448</v>
      </c>
      <c r="Z35" s="40">
        <f t="shared" si="3"/>
        <v>6548</v>
      </c>
      <c r="AA35" s="10">
        <v>500</v>
      </c>
      <c r="AB35" s="40">
        <f t="shared" si="15"/>
        <v>6048</v>
      </c>
      <c r="AC35" s="41">
        <f t="shared" si="4"/>
        <v>-6025</v>
      </c>
      <c r="AD35" s="42" t="e">
        <f>VLOOKUP(D35,#REF!,2,0)</f>
        <v>#REF!</v>
      </c>
      <c r="AF35" s="42">
        <v>14803.1</v>
      </c>
      <c r="AG35" s="43">
        <f t="shared" si="5"/>
        <v>8755.1</v>
      </c>
      <c r="AI35" s="6" t="s">
        <v>138</v>
      </c>
      <c r="AJ35" s="42" t="b">
        <f t="shared" si="6"/>
        <v>0</v>
      </c>
      <c r="AK35" s="6">
        <v>284</v>
      </c>
      <c r="AL35" s="6"/>
      <c r="AM35" s="6">
        <v>5000</v>
      </c>
      <c r="AO35" s="72">
        <v>3316185594</v>
      </c>
      <c r="AP35" s="42" t="b">
        <f t="shared" si="16"/>
        <v>0</v>
      </c>
      <c r="AR35" s="201">
        <f t="shared" si="17"/>
        <v>12</v>
      </c>
      <c r="AS35" s="201">
        <f t="shared" si="18"/>
        <v>7</v>
      </c>
      <c r="AT35" s="42">
        <v>5</v>
      </c>
    </row>
    <row r="36" spans="1:46">
      <c r="A36" s="35">
        <v>26</v>
      </c>
      <c r="B36" s="82">
        <v>101678665637</v>
      </c>
      <c r="C36" s="90">
        <v>3317510655</v>
      </c>
      <c r="D36" s="71" t="s">
        <v>340</v>
      </c>
      <c r="E36" s="6">
        <v>25</v>
      </c>
      <c r="F36" s="36">
        <v>636</v>
      </c>
      <c r="G36" s="85">
        <v>7</v>
      </c>
      <c r="H36" s="9">
        <v>5</v>
      </c>
      <c r="I36" s="37">
        <f t="shared" si="0"/>
        <v>12</v>
      </c>
      <c r="J36" s="38">
        <f t="shared" si="7"/>
        <v>4452</v>
      </c>
      <c r="K36" s="38">
        <f t="shared" si="8"/>
        <v>3180</v>
      </c>
      <c r="L36" s="38">
        <f t="shared" si="9"/>
        <v>7632</v>
      </c>
      <c r="M36" s="38">
        <f t="shared" si="10"/>
        <v>3850</v>
      </c>
      <c r="N36" s="39">
        <f t="shared" si="11"/>
        <v>193</v>
      </c>
      <c r="O36" s="38">
        <f t="shared" si="12"/>
        <v>3589</v>
      </c>
      <c r="P36" s="38">
        <f t="shared" si="19"/>
        <v>7632</v>
      </c>
      <c r="Q36" s="39">
        <f t="shared" si="1"/>
        <v>462</v>
      </c>
      <c r="R36" s="39">
        <f t="shared" si="13"/>
        <v>175</v>
      </c>
      <c r="S36" s="39">
        <f t="shared" si="14"/>
        <v>57</v>
      </c>
      <c r="T36" s="39"/>
      <c r="U36" s="6"/>
      <c r="V36" s="4"/>
      <c r="W36" s="7"/>
      <c r="X36" s="2"/>
      <c r="Y36" s="39">
        <f t="shared" si="2"/>
        <v>694</v>
      </c>
      <c r="Z36" s="40">
        <f t="shared" si="3"/>
        <v>6938</v>
      </c>
      <c r="AA36" s="10">
        <v>500</v>
      </c>
      <c r="AB36" s="40">
        <f t="shared" si="15"/>
        <v>6438</v>
      </c>
      <c r="AC36" s="41">
        <f t="shared" si="4"/>
        <v>-6413</v>
      </c>
      <c r="AD36" s="42" t="e">
        <f>VLOOKUP(D36,#REF!,2,0)</f>
        <v>#REF!</v>
      </c>
      <c r="AE36" s="42" t="s">
        <v>24</v>
      </c>
      <c r="AF36" s="42">
        <v>10191.799999999999</v>
      </c>
      <c r="AG36" s="43">
        <f t="shared" si="5"/>
        <v>3753.7999999999993</v>
      </c>
      <c r="AI36" s="6" t="s">
        <v>118</v>
      </c>
      <c r="AJ36" s="42" t="b">
        <f t="shared" si="6"/>
        <v>0</v>
      </c>
      <c r="AK36" s="6">
        <v>82</v>
      </c>
      <c r="AL36" s="6"/>
      <c r="AM36" s="6"/>
      <c r="AO36" s="72">
        <v>3315689420</v>
      </c>
      <c r="AP36" s="42" t="b">
        <f t="shared" si="16"/>
        <v>0</v>
      </c>
      <c r="AR36" s="201">
        <f t="shared" si="17"/>
        <v>13</v>
      </c>
      <c r="AS36" s="201">
        <f t="shared" si="18"/>
        <v>8</v>
      </c>
      <c r="AT36" s="42">
        <v>5</v>
      </c>
    </row>
    <row r="37" spans="1:46">
      <c r="A37" s="35">
        <v>27</v>
      </c>
      <c r="B37" s="82">
        <v>100450352070</v>
      </c>
      <c r="C37" s="90">
        <v>3315397405</v>
      </c>
      <c r="D37" s="71" t="s">
        <v>201</v>
      </c>
      <c r="E37" s="6">
        <v>24</v>
      </c>
      <c r="F37" s="36">
        <v>636</v>
      </c>
      <c r="G37" s="86">
        <v>7</v>
      </c>
      <c r="H37" s="9">
        <v>5</v>
      </c>
      <c r="I37" s="37">
        <f t="shared" si="0"/>
        <v>12</v>
      </c>
      <c r="J37" s="38">
        <f t="shared" si="7"/>
        <v>4452</v>
      </c>
      <c r="K37" s="38">
        <f t="shared" si="8"/>
        <v>3180</v>
      </c>
      <c r="L37" s="38">
        <f t="shared" si="9"/>
        <v>7632</v>
      </c>
      <c r="M37" s="38">
        <f t="shared" si="10"/>
        <v>3850</v>
      </c>
      <c r="N37" s="39">
        <f t="shared" si="11"/>
        <v>193</v>
      </c>
      <c r="O37" s="38">
        <f t="shared" si="12"/>
        <v>3589</v>
      </c>
      <c r="P37" s="38">
        <f t="shared" si="19"/>
        <v>7632</v>
      </c>
      <c r="Q37" s="39">
        <f t="shared" si="1"/>
        <v>462</v>
      </c>
      <c r="R37" s="39">
        <f t="shared" si="13"/>
        <v>175</v>
      </c>
      <c r="S37" s="39">
        <f t="shared" si="14"/>
        <v>57</v>
      </c>
      <c r="T37" s="39"/>
      <c r="U37" s="6"/>
      <c r="V37" s="4"/>
      <c r="W37" s="7"/>
      <c r="X37" s="2"/>
      <c r="Y37" s="39">
        <f t="shared" si="2"/>
        <v>694</v>
      </c>
      <c r="Z37" s="40">
        <f t="shared" si="3"/>
        <v>6938</v>
      </c>
      <c r="AA37" s="10">
        <v>500</v>
      </c>
      <c r="AB37" s="40">
        <f t="shared" si="15"/>
        <v>6438</v>
      </c>
      <c r="AC37" s="41">
        <f t="shared" si="4"/>
        <v>-6414</v>
      </c>
      <c r="AD37" s="42" t="e">
        <f>VLOOKUP(D37,#REF!,2,0)</f>
        <v>#REF!</v>
      </c>
      <c r="AF37" s="42">
        <v>15313.4</v>
      </c>
      <c r="AG37" s="43">
        <f t="shared" si="5"/>
        <v>8875.4</v>
      </c>
      <c r="AI37" s="6" t="s">
        <v>96</v>
      </c>
      <c r="AJ37" s="42" t="b">
        <f t="shared" si="6"/>
        <v>0</v>
      </c>
      <c r="AK37" s="6">
        <v>0</v>
      </c>
      <c r="AL37" s="6"/>
      <c r="AM37" s="6">
        <v>6000</v>
      </c>
      <c r="AO37" s="72">
        <v>3315929412</v>
      </c>
      <c r="AP37" s="42" t="b">
        <f t="shared" si="16"/>
        <v>0</v>
      </c>
      <c r="AR37" s="201">
        <f t="shared" si="17"/>
        <v>12</v>
      </c>
      <c r="AS37" s="201">
        <f t="shared" si="18"/>
        <v>7</v>
      </c>
      <c r="AT37" s="42">
        <v>5</v>
      </c>
    </row>
    <row r="38" spans="1:46">
      <c r="A38" s="35">
        <v>28</v>
      </c>
      <c r="B38" s="82">
        <v>101826609019</v>
      </c>
      <c r="C38" s="90">
        <v>3314020788</v>
      </c>
      <c r="D38" s="71" t="s">
        <v>214</v>
      </c>
      <c r="E38" s="6">
        <v>20.5</v>
      </c>
      <c r="F38" s="36">
        <v>636</v>
      </c>
      <c r="G38" s="85">
        <v>6.5</v>
      </c>
      <c r="H38" s="9">
        <v>5</v>
      </c>
      <c r="I38" s="37">
        <f t="shared" si="0"/>
        <v>11.5</v>
      </c>
      <c r="J38" s="38">
        <f t="shared" si="7"/>
        <v>4134</v>
      </c>
      <c r="K38" s="38">
        <f t="shared" si="8"/>
        <v>3180</v>
      </c>
      <c r="L38" s="38">
        <f t="shared" si="9"/>
        <v>7314</v>
      </c>
      <c r="M38" s="38">
        <f t="shared" si="10"/>
        <v>3575</v>
      </c>
      <c r="N38" s="39">
        <f t="shared" si="11"/>
        <v>179</v>
      </c>
      <c r="O38" s="38">
        <f t="shared" si="12"/>
        <v>3560</v>
      </c>
      <c r="P38" s="38">
        <f t="shared" si="19"/>
        <v>7314</v>
      </c>
      <c r="Q38" s="39">
        <f t="shared" si="1"/>
        <v>429</v>
      </c>
      <c r="R38" s="39">
        <f t="shared" si="13"/>
        <v>0</v>
      </c>
      <c r="S38" s="39">
        <f t="shared" si="14"/>
        <v>55</v>
      </c>
      <c r="T38" s="39"/>
      <c r="U38" s="6"/>
      <c r="V38" s="4"/>
      <c r="W38" s="7"/>
      <c r="X38" s="2"/>
      <c r="Y38" s="39">
        <f t="shared" si="2"/>
        <v>484</v>
      </c>
      <c r="Z38" s="40">
        <f t="shared" si="3"/>
        <v>6830</v>
      </c>
      <c r="AA38" s="10">
        <v>500</v>
      </c>
      <c r="AB38" s="40">
        <f t="shared" si="15"/>
        <v>6330</v>
      </c>
      <c r="AC38" s="41">
        <f t="shared" si="4"/>
        <v>-6309.5</v>
      </c>
      <c r="AD38" s="42" t="e">
        <f>VLOOKUP(D38,#REF!,2,0)</f>
        <v>#REF!</v>
      </c>
      <c r="AE38" s="42" t="s">
        <v>5</v>
      </c>
      <c r="AF38" s="42">
        <v>14672.75</v>
      </c>
      <c r="AG38" s="43">
        <f t="shared" si="5"/>
        <v>8342.75</v>
      </c>
      <c r="AI38" s="6" t="s">
        <v>87</v>
      </c>
      <c r="AJ38" s="42" t="b">
        <f t="shared" si="6"/>
        <v>0</v>
      </c>
      <c r="AK38" s="6">
        <v>17</v>
      </c>
      <c r="AL38" s="6"/>
      <c r="AM38" s="6"/>
      <c r="AO38" s="72">
        <v>3314020788</v>
      </c>
      <c r="AP38" s="42" t="b">
        <f t="shared" si="16"/>
        <v>1</v>
      </c>
      <c r="AR38" s="201">
        <f t="shared" si="17"/>
        <v>9</v>
      </c>
      <c r="AS38" s="201">
        <f t="shared" si="18"/>
        <v>4</v>
      </c>
      <c r="AT38" s="42">
        <v>5</v>
      </c>
    </row>
    <row r="39" spans="1:46">
      <c r="A39" s="35">
        <v>29</v>
      </c>
      <c r="B39" s="82">
        <v>102209140373</v>
      </c>
      <c r="C39" s="90">
        <v>3317686370</v>
      </c>
      <c r="D39" s="71" t="s">
        <v>376</v>
      </c>
      <c r="E39" s="6">
        <v>25.5</v>
      </c>
      <c r="F39" s="36">
        <v>636</v>
      </c>
      <c r="G39" s="85">
        <v>9.5</v>
      </c>
      <c r="H39" s="9">
        <v>5</v>
      </c>
      <c r="I39" s="37">
        <f t="shared" si="0"/>
        <v>14.5</v>
      </c>
      <c r="J39" s="38">
        <f t="shared" si="7"/>
        <v>6042</v>
      </c>
      <c r="K39" s="38">
        <f t="shared" si="8"/>
        <v>3180</v>
      </c>
      <c r="L39" s="38">
        <f t="shared" si="9"/>
        <v>9222</v>
      </c>
      <c r="M39" s="38">
        <f t="shared" si="10"/>
        <v>5225</v>
      </c>
      <c r="N39" s="39">
        <f t="shared" si="11"/>
        <v>261</v>
      </c>
      <c r="O39" s="38">
        <f t="shared" si="12"/>
        <v>3736</v>
      </c>
      <c r="P39" s="38">
        <f t="shared" si="19"/>
        <v>9222</v>
      </c>
      <c r="Q39" s="39">
        <f t="shared" si="1"/>
        <v>627</v>
      </c>
      <c r="R39" s="39">
        <f t="shared" si="13"/>
        <v>175</v>
      </c>
      <c r="S39" s="39">
        <f t="shared" si="14"/>
        <v>69</v>
      </c>
      <c r="T39" s="39"/>
      <c r="U39" s="6"/>
      <c r="V39" s="4"/>
      <c r="W39" s="7"/>
      <c r="X39" s="2"/>
      <c r="Y39" s="39">
        <f t="shared" si="2"/>
        <v>871</v>
      </c>
      <c r="Z39" s="40">
        <f t="shared" si="3"/>
        <v>8351</v>
      </c>
      <c r="AA39" s="10">
        <v>500</v>
      </c>
      <c r="AB39" s="40">
        <f t="shared" si="15"/>
        <v>7851</v>
      </c>
      <c r="AC39" s="41">
        <f t="shared" si="4"/>
        <v>-7825.5</v>
      </c>
      <c r="AD39" s="42" t="e">
        <f>VLOOKUP(D39,#REF!,2,0)</f>
        <v>#REF!</v>
      </c>
      <c r="AE39" s="42" t="s">
        <v>20</v>
      </c>
      <c r="AF39" s="42">
        <v>12639.4</v>
      </c>
      <c r="AG39" s="43">
        <f t="shared" si="5"/>
        <v>4788.3999999999996</v>
      </c>
      <c r="AI39" s="6" t="s">
        <v>98</v>
      </c>
      <c r="AJ39" s="42" t="b">
        <f t="shared" si="6"/>
        <v>0</v>
      </c>
      <c r="AK39" s="6"/>
      <c r="AL39" s="6"/>
      <c r="AM39" s="6"/>
      <c r="AO39" s="72">
        <v>3317142495</v>
      </c>
      <c r="AP39" s="42" t="b">
        <f t="shared" si="16"/>
        <v>0</v>
      </c>
      <c r="AR39" s="201">
        <f t="shared" si="17"/>
        <v>11</v>
      </c>
      <c r="AS39" s="201">
        <f t="shared" si="18"/>
        <v>6</v>
      </c>
      <c r="AT39" s="42">
        <v>5</v>
      </c>
    </row>
    <row r="40" spans="1:46">
      <c r="A40" s="35">
        <v>30</v>
      </c>
      <c r="B40" s="82">
        <v>101969547233</v>
      </c>
      <c r="C40" s="90">
        <v>3315368099</v>
      </c>
      <c r="D40" s="71" t="s">
        <v>202</v>
      </c>
      <c r="E40" s="6">
        <v>22</v>
      </c>
      <c r="F40" s="36">
        <v>636</v>
      </c>
      <c r="G40" s="85">
        <v>7</v>
      </c>
      <c r="H40" s="9">
        <v>5</v>
      </c>
      <c r="I40" s="37">
        <f t="shared" si="0"/>
        <v>12</v>
      </c>
      <c r="J40" s="38">
        <f t="shared" si="7"/>
        <v>4452</v>
      </c>
      <c r="K40" s="38">
        <f t="shared" si="8"/>
        <v>3180</v>
      </c>
      <c r="L40" s="38">
        <f t="shared" si="9"/>
        <v>7632</v>
      </c>
      <c r="M40" s="38">
        <f t="shared" si="10"/>
        <v>3850</v>
      </c>
      <c r="N40" s="39">
        <f t="shared" si="11"/>
        <v>193</v>
      </c>
      <c r="O40" s="38">
        <f t="shared" si="12"/>
        <v>3589</v>
      </c>
      <c r="P40" s="38">
        <f t="shared" si="19"/>
        <v>7632</v>
      </c>
      <c r="Q40" s="39">
        <f t="shared" si="1"/>
        <v>462</v>
      </c>
      <c r="R40" s="39">
        <f t="shared" si="13"/>
        <v>175</v>
      </c>
      <c r="S40" s="39">
        <f t="shared" si="14"/>
        <v>57</v>
      </c>
      <c r="T40" s="39"/>
      <c r="U40" s="6"/>
      <c r="V40" s="4"/>
      <c r="W40" s="7"/>
      <c r="X40" s="2"/>
      <c r="Y40" s="39">
        <f t="shared" si="2"/>
        <v>694</v>
      </c>
      <c r="Z40" s="40">
        <f t="shared" si="3"/>
        <v>6938</v>
      </c>
      <c r="AA40" s="10">
        <v>500</v>
      </c>
      <c r="AB40" s="40">
        <f t="shared" si="15"/>
        <v>6438</v>
      </c>
      <c r="AC40" s="41">
        <f t="shared" si="4"/>
        <v>-6416</v>
      </c>
      <c r="AD40" s="42" t="e">
        <f>VLOOKUP(D40,#REF!,2,0)</f>
        <v>#REF!</v>
      </c>
      <c r="AF40" s="42">
        <v>13318</v>
      </c>
      <c r="AG40" s="43">
        <f t="shared" si="5"/>
        <v>6880</v>
      </c>
      <c r="AI40" s="6" t="s">
        <v>99</v>
      </c>
      <c r="AJ40" s="42" t="b">
        <f t="shared" si="6"/>
        <v>0</v>
      </c>
      <c r="AK40" s="6">
        <v>614</v>
      </c>
      <c r="AL40" s="6"/>
      <c r="AM40" s="6"/>
      <c r="AO40" s="72">
        <v>3315008939</v>
      </c>
      <c r="AP40" s="42" t="b">
        <f t="shared" si="16"/>
        <v>0</v>
      </c>
      <c r="AR40" s="201">
        <f t="shared" si="17"/>
        <v>10</v>
      </c>
      <c r="AS40" s="201">
        <f t="shared" si="18"/>
        <v>5</v>
      </c>
      <c r="AT40" s="42">
        <v>5</v>
      </c>
    </row>
    <row r="41" spans="1:46">
      <c r="A41" s="35">
        <v>31</v>
      </c>
      <c r="B41" s="89">
        <v>102245251075</v>
      </c>
      <c r="C41" s="90">
        <v>3317981416</v>
      </c>
      <c r="D41" s="71" t="s">
        <v>363</v>
      </c>
      <c r="E41" s="6">
        <v>25</v>
      </c>
      <c r="F41" s="36">
        <v>636</v>
      </c>
      <c r="G41" s="86">
        <v>9</v>
      </c>
      <c r="H41" s="9">
        <v>5</v>
      </c>
      <c r="I41" s="37">
        <f t="shared" si="0"/>
        <v>14</v>
      </c>
      <c r="J41" s="38">
        <f t="shared" si="7"/>
        <v>5724</v>
      </c>
      <c r="K41" s="38">
        <f t="shared" si="8"/>
        <v>3180</v>
      </c>
      <c r="L41" s="38">
        <f t="shared" si="9"/>
        <v>8904</v>
      </c>
      <c r="M41" s="38">
        <f t="shared" si="10"/>
        <v>4950</v>
      </c>
      <c r="N41" s="39">
        <f t="shared" si="11"/>
        <v>248</v>
      </c>
      <c r="O41" s="38">
        <f t="shared" si="12"/>
        <v>3706</v>
      </c>
      <c r="P41" s="38">
        <f t="shared" si="19"/>
        <v>8904</v>
      </c>
      <c r="Q41" s="39">
        <f t="shared" si="1"/>
        <v>594</v>
      </c>
      <c r="R41" s="39">
        <f t="shared" si="13"/>
        <v>175</v>
      </c>
      <c r="S41" s="39">
        <f t="shared" si="14"/>
        <v>67</v>
      </c>
      <c r="T41" s="39"/>
      <c r="U41" s="6"/>
      <c r="V41" s="4"/>
      <c r="W41" s="7"/>
      <c r="X41" s="2"/>
      <c r="Y41" s="39">
        <f t="shared" si="2"/>
        <v>836</v>
      </c>
      <c r="Z41" s="40">
        <f t="shared" si="3"/>
        <v>8068</v>
      </c>
      <c r="AA41" s="10">
        <v>500</v>
      </c>
      <c r="AB41" s="40">
        <f t="shared" si="15"/>
        <v>7568</v>
      </c>
      <c r="AC41" s="41">
        <f t="shared" si="4"/>
        <v>-7543</v>
      </c>
      <c r="AD41" s="42" t="e">
        <f>VLOOKUP(D41,#REF!,2,0)</f>
        <v>#REF!</v>
      </c>
      <c r="AE41" s="42" t="s">
        <v>9</v>
      </c>
      <c r="AF41" s="42">
        <v>8451.4</v>
      </c>
      <c r="AG41" s="43">
        <f t="shared" si="5"/>
        <v>883.39999999999964</v>
      </c>
      <c r="AI41" s="6" t="s">
        <v>135</v>
      </c>
      <c r="AJ41" s="42" t="b">
        <f t="shared" si="6"/>
        <v>0</v>
      </c>
      <c r="AK41" s="6">
        <v>219</v>
      </c>
      <c r="AL41" s="6">
        <v>84</v>
      </c>
      <c r="AM41" s="6"/>
      <c r="AO41" s="72">
        <v>3315368099</v>
      </c>
      <c r="AP41" s="42" t="b">
        <f t="shared" si="16"/>
        <v>0</v>
      </c>
      <c r="AR41" s="201">
        <f t="shared" si="17"/>
        <v>11</v>
      </c>
      <c r="AS41" s="201">
        <f t="shared" si="18"/>
        <v>6</v>
      </c>
      <c r="AT41" s="42">
        <v>5</v>
      </c>
    </row>
    <row r="42" spans="1:46">
      <c r="A42" s="35">
        <v>32</v>
      </c>
      <c r="B42" s="82">
        <v>102190249257</v>
      </c>
      <c r="C42" s="90">
        <v>3317510361</v>
      </c>
      <c r="D42" s="71" t="s">
        <v>339</v>
      </c>
      <c r="E42" s="6">
        <v>22</v>
      </c>
      <c r="F42" s="36">
        <v>636</v>
      </c>
      <c r="G42" s="85">
        <v>7</v>
      </c>
      <c r="H42" s="9">
        <v>5</v>
      </c>
      <c r="I42" s="37">
        <f t="shared" si="0"/>
        <v>12</v>
      </c>
      <c r="J42" s="38">
        <f t="shared" si="7"/>
        <v>4452</v>
      </c>
      <c r="K42" s="38">
        <f t="shared" si="8"/>
        <v>3180</v>
      </c>
      <c r="L42" s="38">
        <f t="shared" si="9"/>
        <v>7632</v>
      </c>
      <c r="M42" s="38">
        <f t="shared" si="10"/>
        <v>3850</v>
      </c>
      <c r="N42" s="39">
        <f t="shared" si="11"/>
        <v>193</v>
      </c>
      <c r="O42" s="38">
        <f t="shared" si="12"/>
        <v>3589</v>
      </c>
      <c r="P42" s="38">
        <f t="shared" si="19"/>
        <v>7632</v>
      </c>
      <c r="Q42" s="39">
        <f t="shared" si="1"/>
        <v>462</v>
      </c>
      <c r="R42" s="39">
        <f t="shared" si="13"/>
        <v>175</v>
      </c>
      <c r="S42" s="39">
        <f t="shared" si="14"/>
        <v>57</v>
      </c>
      <c r="T42" s="39"/>
      <c r="U42" s="6"/>
      <c r="V42" s="4"/>
      <c r="W42" s="7"/>
      <c r="X42" s="2"/>
      <c r="Y42" s="39">
        <f t="shared" si="2"/>
        <v>694</v>
      </c>
      <c r="Z42" s="40">
        <f t="shared" si="3"/>
        <v>6938</v>
      </c>
      <c r="AA42" s="10">
        <v>500</v>
      </c>
      <c r="AB42" s="40">
        <f t="shared" si="15"/>
        <v>6438</v>
      </c>
      <c r="AC42" s="41">
        <f t="shared" si="4"/>
        <v>-6416</v>
      </c>
      <c r="AD42" s="42" t="e">
        <f>VLOOKUP(D42,#REF!,2,0)</f>
        <v>#REF!</v>
      </c>
      <c r="AE42" s="42" t="s">
        <v>47</v>
      </c>
      <c r="AF42" s="42">
        <v>9058.75</v>
      </c>
      <c r="AG42" s="43">
        <f t="shared" si="5"/>
        <v>2620.75</v>
      </c>
      <c r="AI42" s="6" t="s">
        <v>106</v>
      </c>
      <c r="AJ42" s="42" t="b">
        <f t="shared" si="6"/>
        <v>0</v>
      </c>
      <c r="AK42" s="6">
        <v>349</v>
      </c>
      <c r="AL42" s="6"/>
      <c r="AM42" s="6"/>
      <c r="AO42" s="72">
        <v>3312027406</v>
      </c>
      <c r="AP42" s="42" t="b">
        <f t="shared" si="16"/>
        <v>0</v>
      </c>
      <c r="AR42" s="201">
        <f t="shared" si="17"/>
        <v>10</v>
      </c>
      <c r="AS42" s="201">
        <f t="shared" si="18"/>
        <v>5</v>
      </c>
      <c r="AT42" s="42">
        <v>5</v>
      </c>
    </row>
    <row r="43" spans="1:46">
      <c r="A43" s="35">
        <v>33</v>
      </c>
      <c r="B43" s="89">
        <v>101216844424</v>
      </c>
      <c r="C43" s="92">
        <v>3317732124</v>
      </c>
      <c r="D43" s="71" t="s">
        <v>343</v>
      </c>
      <c r="E43" s="6">
        <v>0</v>
      </c>
      <c r="F43" s="36">
        <v>636</v>
      </c>
      <c r="G43" s="85">
        <v>0</v>
      </c>
      <c r="H43" s="9"/>
      <c r="I43" s="37">
        <f t="shared" ref="I43:I73" si="20">+G43+H43</f>
        <v>0</v>
      </c>
      <c r="J43" s="38">
        <f t="shared" ref="J43:J73" si="21">ROUND(G43*F43,0)</f>
        <v>0</v>
      </c>
      <c r="K43" s="38">
        <f t="shared" ref="K43:K73" si="22">ROUND(F43*H43,0)</f>
        <v>0</v>
      </c>
      <c r="L43" s="38">
        <f t="shared" si="9"/>
        <v>0</v>
      </c>
      <c r="M43" s="38">
        <f t="shared" ref="M43:M73" si="23">ROUND($M$4*G43,0)</f>
        <v>0</v>
      </c>
      <c r="N43" s="39">
        <f t="shared" ref="N43:N73" si="24">ROUND($M43*5%,0)</f>
        <v>0</v>
      </c>
      <c r="O43" s="38">
        <f t="shared" ref="O43:O73" si="25">L43-M43-N43</f>
        <v>0</v>
      </c>
      <c r="P43" s="38">
        <f t="shared" ref="P43:P73" si="26">O43+N43+M43</f>
        <v>0</v>
      </c>
      <c r="Q43" s="39">
        <f t="shared" ref="Q43:Q73" si="27">ROUND(M43*12%,0)</f>
        <v>0</v>
      </c>
      <c r="R43" s="39">
        <f t="shared" si="13"/>
        <v>0</v>
      </c>
      <c r="S43" s="39">
        <f t="shared" ref="S43:S73" si="28">ROUND(P43*0.75%,0)</f>
        <v>0</v>
      </c>
      <c r="T43" s="39"/>
      <c r="U43" s="6"/>
      <c r="V43" s="4"/>
      <c r="W43" s="7"/>
      <c r="X43" s="2"/>
      <c r="Y43" s="39">
        <f t="shared" ref="Y43:Y73" si="29">SUM(Q43:X43)</f>
        <v>0</v>
      </c>
      <c r="Z43" s="40">
        <f t="shared" ref="Z43:Z73" si="30">P43-Y43</f>
        <v>0</v>
      </c>
      <c r="AA43" s="10">
        <v>500</v>
      </c>
      <c r="AB43" s="40">
        <f t="shared" ref="AB43:AB73" si="31">Z43-AA43</f>
        <v>-500</v>
      </c>
      <c r="AC43" s="41">
        <f t="shared" ref="AC43:AC73" si="32">E43-AB43</f>
        <v>500</v>
      </c>
      <c r="AD43" s="42" t="e">
        <f>VLOOKUP(D43,#REF!,2,0)</f>
        <v>#REF!</v>
      </c>
      <c r="AF43" s="42">
        <v>15594.45</v>
      </c>
      <c r="AG43" s="43">
        <f t="shared" ref="AG43:AG73" si="33">AF43-AB43</f>
        <v>16094.45</v>
      </c>
      <c r="AI43" s="6" t="s">
        <v>126</v>
      </c>
      <c r="AJ43" s="42" t="b">
        <f t="shared" si="6"/>
        <v>0</v>
      </c>
      <c r="AK43" s="6">
        <v>546</v>
      </c>
      <c r="AL43" s="6"/>
      <c r="AM43" s="6"/>
      <c r="AO43" s="72">
        <v>3311362160</v>
      </c>
      <c r="AP43" s="42" t="b">
        <f t="shared" si="16"/>
        <v>0</v>
      </c>
      <c r="AR43" s="201">
        <f t="shared" si="17"/>
        <v>0</v>
      </c>
      <c r="AS43" s="201">
        <f t="shared" si="18"/>
        <v>-5</v>
      </c>
      <c r="AT43" s="42">
        <v>5</v>
      </c>
    </row>
    <row r="44" spans="1:46">
      <c r="A44" s="35">
        <v>34</v>
      </c>
      <c r="B44" s="82">
        <v>101958132802</v>
      </c>
      <c r="C44" s="90">
        <v>3317906212</v>
      </c>
      <c r="D44" s="71" t="s">
        <v>355</v>
      </c>
      <c r="E44" s="6">
        <v>20</v>
      </c>
      <c r="F44" s="36">
        <v>636</v>
      </c>
      <c r="G44" s="85">
        <v>6</v>
      </c>
      <c r="H44" s="9">
        <v>5</v>
      </c>
      <c r="I44" s="37">
        <f t="shared" si="20"/>
        <v>11</v>
      </c>
      <c r="J44" s="38">
        <f t="shared" si="21"/>
        <v>3816</v>
      </c>
      <c r="K44" s="38">
        <f t="shared" si="22"/>
        <v>3180</v>
      </c>
      <c r="L44" s="38">
        <f t="shared" si="9"/>
        <v>6996</v>
      </c>
      <c r="M44" s="38">
        <f t="shared" si="23"/>
        <v>3300</v>
      </c>
      <c r="N44" s="39">
        <f t="shared" si="24"/>
        <v>165</v>
      </c>
      <c r="O44" s="38">
        <f t="shared" si="25"/>
        <v>3531</v>
      </c>
      <c r="P44" s="38">
        <f t="shared" si="26"/>
        <v>6996</v>
      </c>
      <c r="Q44" s="39">
        <f t="shared" si="27"/>
        <v>396</v>
      </c>
      <c r="R44" s="39">
        <f t="shared" si="13"/>
        <v>0</v>
      </c>
      <c r="S44" s="39">
        <f t="shared" si="28"/>
        <v>52</v>
      </c>
      <c r="T44" s="39"/>
      <c r="U44" s="6"/>
      <c r="V44" s="4"/>
      <c r="W44" s="7"/>
      <c r="X44" s="2"/>
      <c r="Y44" s="39">
        <f t="shared" si="29"/>
        <v>448</v>
      </c>
      <c r="Z44" s="40">
        <f t="shared" si="30"/>
        <v>6548</v>
      </c>
      <c r="AA44" s="10">
        <v>500</v>
      </c>
      <c r="AB44" s="40">
        <f t="shared" si="31"/>
        <v>6048</v>
      </c>
      <c r="AC44" s="41">
        <f t="shared" si="32"/>
        <v>-6028</v>
      </c>
      <c r="AD44" s="42" t="e">
        <f>VLOOKUP(D44,#REF!,2,0)</f>
        <v>#REF!</v>
      </c>
      <c r="AE44" s="42" t="s">
        <v>17</v>
      </c>
      <c r="AF44" s="42">
        <v>8210</v>
      </c>
      <c r="AG44" s="43">
        <f t="shared" si="33"/>
        <v>2162</v>
      </c>
      <c r="AI44" s="6" t="s">
        <v>112</v>
      </c>
      <c r="AJ44" s="42" t="b">
        <f t="shared" si="6"/>
        <v>0</v>
      </c>
      <c r="AK44" s="6">
        <v>490</v>
      </c>
      <c r="AL44" s="6"/>
      <c r="AM44" s="6"/>
      <c r="AO44" s="72">
        <v>3313938725</v>
      </c>
      <c r="AP44" s="42" t="b">
        <f t="shared" si="16"/>
        <v>0</v>
      </c>
      <c r="AR44" s="201">
        <f t="shared" si="17"/>
        <v>9</v>
      </c>
      <c r="AS44" s="201">
        <f t="shared" si="18"/>
        <v>4</v>
      </c>
      <c r="AT44" s="42">
        <v>5</v>
      </c>
    </row>
    <row r="45" spans="1:46">
      <c r="A45" s="35">
        <v>35</v>
      </c>
      <c r="B45" s="89">
        <v>101603294918</v>
      </c>
      <c r="C45" s="92">
        <v>3312027406</v>
      </c>
      <c r="D45" s="71" t="s">
        <v>215</v>
      </c>
      <c r="E45" s="6">
        <v>23</v>
      </c>
      <c r="F45" s="36">
        <v>636</v>
      </c>
      <c r="G45" s="85">
        <v>8</v>
      </c>
      <c r="H45" s="9">
        <v>5</v>
      </c>
      <c r="I45" s="37">
        <f t="shared" si="20"/>
        <v>13</v>
      </c>
      <c r="J45" s="38">
        <f t="shared" si="21"/>
        <v>5088</v>
      </c>
      <c r="K45" s="38">
        <f t="shared" si="22"/>
        <v>3180</v>
      </c>
      <c r="L45" s="38">
        <f t="shared" si="9"/>
        <v>8268</v>
      </c>
      <c r="M45" s="38">
        <f t="shared" si="23"/>
        <v>4400</v>
      </c>
      <c r="N45" s="39">
        <f t="shared" si="24"/>
        <v>220</v>
      </c>
      <c r="O45" s="38">
        <f t="shared" si="25"/>
        <v>3648</v>
      </c>
      <c r="P45" s="38">
        <f t="shared" si="26"/>
        <v>8268</v>
      </c>
      <c r="Q45" s="39">
        <f t="shared" si="27"/>
        <v>528</v>
      </c>
      <c r="R45" s="39">
        <f t="shared" si="13"/>
        <v>175</v>
      </c>
      <c r="S45" s="39">
        <f t="shared" si="28"/>
        <v>62</v>
      </c>
      <c r="T45" s="39"/>
      <c r="U45" s="6"/>
      <c r="V45" s="4"/>
      <c r="W45" s="7"/>
      <c r="X45" s="2"/>
      <c r="Y45" s="39">
        <f t="shared" si="29"/>
        <v>765</v>
      </c>
      <c r="Z45" s="40">
        <f t="shared" si="30"/>
        <v>7503</v>
      </c>
      <c r="AA45" s="10">
        <v>500</v>
      </c>
      <c r="AB45" s="40">
        <f t="shared" si="31"/>
        <v>7003</v>
      </c>
      <c r="AC45" s="41">
        <f t="shared" si="32"/>
        <v>-6980</v>
      </c>
      <c r="AD45" s="42" t="e">
        <f>VLOOKUP(D45,#REF!,2,0)</f>
        <v>#REF!</v>
      </c>
      <c r="AE45" s="42" t="s">
        <v>3</v>
      </c>
      <c r="AF45" s="42">
        <v>11242</v>
      </c>
      <c r="AG45" s="43">
        <f t="shared" si="33"/>
        <v>4239</v>
      </c>
      <c r="AI45" s="45" t="s">
        <v>152</v>
      </c>
      <c r="AJ45" s="42" t="b">
        <f t="shared" si="6"/>
        <v>0</v>
      </c>
      <c r="AK45" s="6">
        <v>452</v>
      </c>
      <c r="AL45" s="6">
        <v>50</v>
      </c>
      <c r="AM45" s="6"/>
      <c r="AO45" s="72">
        <v>3311531000</v>
      </c>
      <c r="AP45" s="42" t="b">
        <f t="shared" si="16"/>
        <v>0</v>
      </c>
      <c r="AR45" s="201">
        <f t="shared" si="17"/>
        <v>10</v>
      </c>
      <c r="AS45" s="201">
        <f t="shared" si="18"/>
        <v>5</v>
      </c>
      <c r="AT45" s="42">
        <v>5</v>
      </c>
    </row>
    <row r="46" spans="1:46">
      <c r="A46" s="35">
        <v>36</v>
      </c>
      <c r="B46" s="89">
        <v>101520450548</v>
      </c>
      <c r="C46" s="90">
        <v>3311362160</v>
      </c>
      <c r="D46" s="71" t="s">
        <v>424</v>
      </c>
      <c r="E46" s="6">
        <v>27</v>
      </c>
      <c r="F46" s="36">
        <v>636</v>
      </c>
      <c r="G46" s="86">
        <v>10</v>
      </c>
      <c r="H46" s="9">
        <v>5</v>
      </c>
      <c r="I46" s="37">
        <f t="shared" si="20"/>
        <v>15</v>
      </c>
      <c r="J46" s="38">
        <f t="shared" si="21"/>
        <v>6360</v>
      </c>
      <c r="K46" s="38">
        <f t="shared" si="22"/>
        <v>3180</v>
      </c>
      <c r="L46" s="38">
        <f t="shared" si="9"/>
        <v>9540</v>
      </c>
      <c r="M46" s="38">
        <f t="shared" si="23"/>
        <v>5500</v>
      </c>
      <c r="N46" s="39">
        <f t="shared" si="24"/>
        <v>275</v>
      </c>
      <c r="O46" s="38">
        <f t="shared" si="25"/>
        <v>3765</v>
      </c>
      <c r="P46" s="38">
        <f t="shared" si="26"/>
        <v>9540</v>
      </c>
      <c r="Q46" s="39">
        <f t="shared" si="27"/>
        <v>660</v>
      </c>
      <c r="R46" s="39">
        <f t="shared" si="13"/>
        <v>175</v>
      </c>
      <c r="S46" s="39">
        <f t="shared" si="28"/>
        <v>72</v>
      </c>
      <c r="T46" s="39"/>
      <c r="U46" s="6"/>
      <c r="V46" s="4"/>
      <c r="W46" s="7"/>
      <c r="X46" s="2"/>
      <c r="Y46" s="39">
        <f t="shared" si="29"/>
        <v>907</v>
      </c>
      <c r="Z46" s="40">
        <f t="shared" si="30"/>
        <v>8633</v>
      </c>
      <c r="AA46" s="10">
        <v>500</v>
      </c>
      <c r="AB46" s="40">
        <f t="shared" si="31"/>
        <v>8133</v>
      </c>
      <c r="AC46" s="41">
        <f t="shared" si="32"/>
        <v>-8106</v>
      </c>
      <c r="AD46" s="42" t="e">
        <f>VLOOKUP(D46,#REF!,2,0)</f>
        <v>#REF!</v>
      </c>
      <c r="AE46" s="42" t="s">
        <v>48</v>
      </c>
      <c r="AF46" s="42">
        <v>7972.75</v>
      </c>
      <c r="AG46" s="43">
        <f t="shared" si="33"/>
        <v>-160.25</v>
      </c>
      <c r="AI46" s="6" t="s">
        <v>122</v>
      </c>
      <c r="AJ46" s="42" t="b">
        <f t="shared" si="6"/>
        <v>0</v>
      </c>
      <c r="AK46" s="6">
        <v>132</v>
      </c>
      <c r="AL46" s="6">
        <v>50</v>
      </c>
      <c r="AM46" s="6"/>
      <c r="AO46" s="72">
        <v>3315640897</v>
      </c>
      <c r="AP46" s="42" t="b">
        <f t="shared" si="16"/>
        <v>0</v>
      </c>
      <c r="AR46" s="201">
        <f t="shared" si="17"/>
        <v>12</v>
      </c>
      <c r="AS46" s="201">
        <f t="shared" si="18"/>
        <v>7</v>
      </c>
      <c r="AT46" s="42">
        <v>5</v>
      </c>
    </row>
    <row r="47" spans="1:46">
      <c r="A47" s="35">
        <v>37</v>
      </c>
      <c r="B47" s="89">
        <v>101818174092</v>
      </c>
      <c r="C47" s="90">
        <v>3313938725</v>
      </c>
      <c r="D47" s="71" t="s">
        <v>218</v>
      </c>
      <c r="E47" s="6">
        <v>24</v>
      </c>
      <c r="F47" s="36">
        <v>636</v>
      </c>
      <c r="G47" s="86">
        <v>8</v>
      </c>
      <c r="H47" s="9">
        <v>5</v>
      </c>
      <c r="I47" s="37">
        <f t="shared" si="20"/>
        <v>13</v>
      </c>
      <c r="J47" s="38">
        <f t="shared" si="21"/>
        <v>5088</v>
      </c>
      <c r="K47" s="38">
        <f t="shared" si="22"/>
        <v>3180</v>
      </c>
      <c r="L47" s="38">
        <f t="shared" si="9"/>
        <v>8268</v>
      </c>
      <c r="M47" s="38">
        <f t="shared" si="23"/>
        <v>4400</v>
      </c>
      <c r="N47" s="39">
        <f t="shared" si="24"/>
        <v>220</v>
      </c>
      <c r="O47" s="38">
        <f t="shared" si="25"/>
        <v>3648</v>
      </c>
      <c r="P47" s="38">
        <f t="shared" si="26"/>
        <v>8268</v>
      </c>
      <c r="Q47" s="39">
        <f t="shared" si="27"/>
        <v>528</v>
      </c>
      <c r="R47" s="39">
        <f t="shared" si="13"/>
        <v>175</v>
      </c>
      <c r="S47" s="39">
        <f t="shared" si="28"/>
        <v>62</v>
      </c>
      <c r="T47" s="39"/>
      <c r="U47" s="6"/>
      <c r="V47" s="4"/>
      <c r="W47" s="7"/>
      <c r="X47" s="2"/>
      <c r="Y47" s="39">
        <f t="shared" si="29"/>
        <v>765</v>
      </c>
      <c r="Z47" s="40">
        <f t="shared" si="30"/>
        <v>7503</v>
      </c>
      <c r="AA47" s="10">
        <v>500</v>
      </c>
      <c r="AB47" s="40">
        <f t="shared" si="31"/>
        <v>7003</v>
      </c>
      <c r="AC47" s="41">
        <f t="shared" si="32"/>
        <v>-6979</v>
      </c>
      <c r="AD47" s="42" t="e">
        <f>VLOOKUP(D47,#REF!,2,0)</f>
        <v>#REF!</v>
      </c>
      <c r="AF47" s="42">
        <v>17005.75</v>
      </c>
      <c r="AG47" s="43">
        <f t="shared" si="33"/>
        <v>10002.75</v>
      </c>
      <c r="AI47" s="6" t="s">
        <v>127</v>
      </c>
      <c r="AJ47" s="42" t="b">
        <f t="shared" si="6"/>
        <v>0</v>
      </c>
      <c r="AK47" s="6">
        <v>213</v>
      </c>
      <c r="AL47" s="6"/>
      <c r="AM47" s="6"/>
      <c r="AO47" s="72">
        <v>3316853397</v>
      </c>
      <c r="AP47" s="42" t="b">
        <f t="shared" si="16"/>
        <v>0</v>
      </c>
      <c r="AR47" s="201">
        <f t="shared" si="17"/>
        <v>11</v>
      </c>
      <c r="AS47" s="201">
        <f t="shared" si="18"/>
        <v>6</v>
      </c>
      <c r="AT47" s="42">
        <v>5</v>
      </c>
    </row>
    <row r="48" spans="1:46">
      <c r="A48" s="35">
        <v>38</v>
      </c>
      <c r="B48" s="82">
        <v>101373078654</v>
      </c>
      <c r="C48" s="90">
        <v>3311531000</v>
      </c>
      <c r="D48" s="71" t="s">
        <v>224</v>
      </c>
      <c r="E48" s="6">
        <v>21</v>
      </c>
      <c r="F48" s="36">
        <v>636</v>
      </c>
      <c r="G48" s="85">
        <v>5</v>
      </c>
      <c r="H48" s="9">
        <v>5</v>
      </c>
      <c r="I48" s="37">
        <f t="shared" si="20"/>
        <v>10</v>
      </c>
      <c r="J48" s="38">
        <f t="shared" si="21"/>
        <v>3180</v>
      </c>
      <c r="K48" s="38">
        <f t="shared" si="22"/>
        <v>3180</v>
      </c>
      <c r="L48" s="38">
        <f t="shared" si="9"/>
        <v>6360</v>
      </c>
      <c r="M48" s="38">
        <f t="shared" si="23"/>
        <v>2750</v>
      </c>
      <c r="N48" s="39">
        <f t="shared" si="24"/>
        <v>138</v>
      </c>
      <c r="O48" s="38">
        <f t="shared" si="25"/>
        <v>3472</v>
      </c>
      <c r="P48" s="38">
        <f t="shared" si="26"/>
        <v>6360</v>
      </c>
      <c r="Q48" s="39">
        <f t="shared" si="27"/>
        <v>330</v>
      </c>
      <c r="R48" s="39">
        <f t="shared" si="13"/>
        <v>0</v>
      </c>
      <c r="S48" s="39">
        <f t="shared" si="28"/>
        <v>48</v>
      </c>
      <c r="T48" s="39"/>
      <c r="U48" s="6"/>
      <c r="V48" s="4"/>
      <c r="W48" s="7"/>
      <c r="X48" s="2"/>
      <c r="Y48" s="39">
        <f t="shared" si="29"/>
        <v>378</v>
      </c>
      <c r="Z48" s="40">
        <f t="shared" si="30"/>
        <v>5982</v>
      </c>
      <c r="AA48" s="10">
        <v>500</v>
      </c>
      <c r="AB48" s="40">
        <f t="shared" si="31"/>
        <v>5482</v>
      </c>
      <c r="AC48" s="41">
        <f t="shared" si="32"/>
        <v>-5461</v>
      </c>
      <c r="AD48" s="42" t="e">
        <f>VLOOKUP(D48,#REF!,2,0)</f>
        <v>#REF!</v>
      </c>
      <c r="AF48" s="42">
        <v>14412.8</v>
      </c>
      <c r="AG48" s="43">
        <f t="shared" si="33"/>
        <v>8930.7999999999993</v>
      </c>
      <c r="AI48" s="6" t="s">
        <v>117</v>
      </c>
      <c r="AJ48" s="42" t="b">
        <f t="shared" si="6"/>
        <v>0</v>
      </c>
      <c r="AK48" s="6">
        <v>16</v>
      </c>
      <c r="AL48" s="6"/>
      <c r="AM48" s="6"/>
      <c r="AO48" s="78">
        <v>3315285176</v>
      </c>
      <c r="AP48" s="42" t="b">
        <f>AO48=C48</f>
        <v>0</v>
      </c>
      <c r="AR48" s="201">
        <f t="shared" si="17"/>
        <v>11</v>
      </c>
      <c r="AS48" s="201">
        <f t="shared" si="18"/>
        <v>6</v>
      </c>
      <c r="AT48" s="42">
        <v>5</v>
      </c>
    </row>
    <row r="49" spans="1:46" s="27" customFormat="1">
      <c r="A49" s="35">
        <v>39</v>
      </c>
      <c r="B49" s="82">
        <v>102086533444</v>
      </c>
      <c r="C49" s="90">
        <v>3316550718</v>
      </c>
      <c r="D49" s="71" t="s">
        <v>178</v>
      </c>
      <c r="E49" s="6">
        <v>25.5</v>
      </c>
      <c r="F49" s="36">
        <v>636</v>
      </c>
      <c r="G49" s="85">
        <v>10.5</v>
      </c>
      <c r="H49" s="9">
        <v>5</v>
      </c>
      <c r="I49" s="37">
        <f t="shared" si="20"/>
        <v>15.5</v>
      </c>
      <c r="J49" s="38">
        <f t="shared" si="21"/>
        <v>6678</v>
      </c>
      <c r="K49" s="38">
        <f t="shared" si="22"/>
        <v>3180</v>
      </c>
      <c r="L49" s="38">
        <f t="shared" si="9"/>
        <v>9858</v>
      </c>
      <c r="M49" s="38">
        <f t="shared" si="23"/>
        <v>5775</v>
      </c>
      <c r="N49" s="39">
        <f t="shared" si="24"/>
        <v>289</v>
      </c>
      <c r="O49" s="38">
        <f t="shared" si="25"/>
        <v>3794</v>
      </c>
      <c r="P49" s="38">
        <f t="shared" si="26"/>
        <v>9858</v>
      </c>
      <c r="Q49" s="39">
        <f t="shared" si="27"/>
        <v>693</v>
      </c>
      <c r="R49" s="39">
        <f t="shared" si="13"/>
        <v>175</v>
      </c>
      <c r="S49" s="39">
        <f t="shared" si="28"/>
        <v>74</v>
      </c>
      <c r="T49" s="39"/>
      <c r="U49" s="6"/>
      <c r="V49" s="4"/>
      <c r="W49" s="7"/>
      <c r="X49" s="2"/>
      <c r="Y49" s="39">
        <f t="shared" si="29"/>
        <v>942</v>
      </c>
      <c r="Z49" s="40">
        <f t="shared" si="30"/>
        <v>8916</v>
      </c>
      <c r="AA49" s="10">
        <v>500</v>
      </c>
      <c r="AB49" s="40">
        <f t="shared" si="31"/>
        <v>8416</v>
      </c>
      <c r="AC49" s="41">
        <f t="shared" si="32"/>
        <v>-8390.5</v>
      </c>
      <c r="AD49" s="42" t="e">
        <f>VLOOKUP(D49,#REF!,2,0)</f>
        <v>#REF!</v>
      </c>
      <c r="AE49" s="42"/>
      <c r="AF49" s="42">
        <v>13978.4</v>
      </c>
      <c r="AG49" s="43">
        <f t="shared" si="33"/>
        <v>5562.4</v>
      </c>
      <c r="AI49" s="5" t="s">
        <v>37</v>
      </c>
      <c r="AJ49" s="42" t="b">
        <f t="shared" si="6"/>
        <v>0</v>
      </c>
      <c r="AK49" s="5">
        <v>261</v>
      </c>
      <c r="AL49" s="5"/>
      <c r="AM49" s="5"/>
      <c r="AO49" s="72">
        <v>3316481452</v>
      </c>
      <c r="AP49" s="42" t="b">
        <f t="shared" si="16"/>
        <v>0</v>
      </c>
      <c r="AR49" s="201">
        <f t="shared" si="17"/>
        <v>10</v>
      </c>
      <c r="AS49" s="201">
        <f t="shared" si="18"/>
        <v>5</v>
      </c>
      <c r="AT49" s="42">
        <v>5</v>
      </c>
    </row>
    <row r="50" spans="1:46">
      <c r="A50" s="35">
        <v>40</v>
      </c>
      <c r="B50" s="82">
        <v>102120964651</v>
      </c>
      <c r="C50" s="90">
        <v>3316853397</v>
      </c>
      <c r="D50" s="71" t="s">
        <v>175</v>
      </c>
      <c r="E50" s="6">
        <v>23</v>
      </c>
      <c r="F50" s="36">
        <v>636</v>
      </c>
      <c r="G50" s="86">
        <v>6</v>
      </c>
      <c r="H50" s="9">
        <v>5</v>
      </c>
      <c r="I50" s="37">
        <f t="shared" si="20"/>
        <v>11</v>
      </c>
      <c r="J50" s="38">
        <f t="shared" si="21"/>
        <v>3816</v>
      </c>
      <c r="K50" s="38">
        <f t="shared" si="22"/>
        <v>3180</v>
      </c>
      <c r="L50" s="38">
        <f t="shared" si="9"/>
        <v>6996</v>
      </c>
      <c r="M50" s="38">
        <f t="shared" si="23"/>
        <v>3300</v>
      </c>
      <c r="N50" s="39">
        <f t="shared" si="24"/>
        <v>165</v>
      </c>
      <c r="O50" s="38">
        <f t="shared" si="25"/>
        <v>3531</v>
      </c>
      <c r="P50" s="38">
        <f t="shared" si="26"/>
        <v>6996</v>
      </c>
      <c r="Q50" s="39">
        <f t="shared" si="27"/>
        <v>396</v>
      </c>
      <c r="R50" s="39">
        <f t="shared" si="13"/>
        <v>0</v>
      </c>
      <c r="S50" s="39">
        <f t="shared" si="28"/>
        <v>52</v>
      </c>
      <c r="T50" s="39"/>
      <c r="U50" s="6"/>
      <c r="V50" s="4"/>
      <c r="W50" s="7"/>
      <c r="X50" s="2"/>
      <c r="Y50" s="39">
        <f t="shared" si="29"/>
        <v>448</v>
      </c>
      <c r="Z50" s="40">
        <f t="shared" si="30"/>
        <v>6548</v>
      </c>
      <c r="AA50" s="10">
        <v>500</v>
      </c>
      <c r="AB50" s="40">
        <f t="shared" si="31"/>
        <v>6048</v>
      </c>
      <c r="AC50" s="41">
        <f t="shared" si="32"/>
        <v>-6025</v>
      </c>
      <c r="AD50" s="42" t="e">
        <f>VLOOKUP(D50,#REF!,2,0)</f>
        <v>#REF!</v>
      </c>
      <c r="AF50" s="42">
        <v>12469.7</v>
      </c>
      <c r="AG50" s="43">
        <f t="shared" si="33"/>
        <v>6421.7000000000007</v>
      </c>
      <c r="AI50" s="6" t="s">
        <v>105</v>
      </c>
      <c r="AJ50" s="42" t="b">
        <f t="shared" si="6"/>
        <v>0</v>
      </c>
      <c r="AK50" s="6">
        <v>374</v>
      </c>
      <c r="AL50" s="6"/>
      <c r="AM50" s="6"/>
      <c r="AO50" s="72">
        <v>3311953721</v>
      </c>
      <c r="AP50" s="42" t="b">
        <f t="shared" si="16"/>
        <v>0</v>
      </c>
      <c r="AR50" s="201">
        <f t="shared" si="17"/>
        <v>12</v>
      </c>
      <c r="AS50" s="201">
        <f t="shared" si="18"/>
        <v>7</v>
      </c>
      <c r="AT50" s="42">
        <v>5</v>
      </c>
    </row>
    <row r="51" spans="1:46">
      <c r="A51" s="35">
        <v>41</v>
      </c>
      <c r="B51" s="82">
        <v>101428896909</v>
      </c>
      <c r="C51" s="90">
        <v>3315285176</v>
      </c>
      <c r="D51" s="71" t="s">
        <v>204</v>
      </c>
      <c r="E51" s="6">
        <v>24</v>
      </c>
      <c r="F51" s="36">
        <v>636</v>
      </c>
      <c r="G51" s="85">
        <v>9</v>
      </c>
      <c r="H51" s="9">
        <v>5</v>
      </c>
      <c r="I51" s="37">
        <f t="shared" si="20"/>
        <v>14</v>
      </c>
      <c r="J51" s="38">
        <f t="shared" si="21"/>
        <v>5724</v>
      </c>
      <c r="K51" s="38">
        <f t="shared" si="22"/>
        <v>3180</v>
      </c>
      <c r="L51" s="38">
        <f t="shared" si="9"/>
        <v>8904</v>
      </c>
      <c r="M51" s="38">
        <f t="shared" si="23"/>
        <v>4950</v>
      </c>
      <c r="N51" s="39">
        <f t="shared" si="24"/>
        <v>248</v>
      </c>
      <c r="O51" s="38">
        <f t="shared" si="25"/>
        <v>3706</v>
      </c>
      <c r="P51" s="38">
        <f t="shared" si="26"/>
        <v>8904</v>
      </c>
      <c r="Q51" s="39">
        <f t="shared" si="27"/>
        <v>594</v>
      </c>
      <c r="R51" s="39">
        <f t="shared" si="13"/>
        <v>175</v>
      </c>
      <c r="S51" s="39">
        <f t="shared" si="28"/>
        <v>67</v>
      </c>
      <c r="T51" s="39"/>
      <c r="U51" s="6"/>
      <c r="V51" s="4"/>
      <c r="W51" s="7"/>
      <c r="X51" s="2"/>
      <c r="Y51" s="39">
        <f t="shared" si="29"/>
        <v>836</v>
      </c>
      <c r="Z51" s="40">
        <f t="shared" si="30"/>
        <v>8068</v>
      </c>
      <c r="AA51" s="10">
        <v>500</v>
      </c>
      <c r="AB51" s="40">
        <f t="shared" si="31"/>
        <v>7568</v>
      </c>
      <c r="AC51" s="41">
        <f t="shared" si="32"/>
        <v>-7544</v>
      </c>
      <c r="AD51" s="42" t="e">
        <f>VLOOKUP(D51,#REF!,2,0)</f>
        <v>#REF!</v>
      </c>
      <c r="AE51" s="42" t="s">
        <v>18</v>
      </c>
      <c r="AF51" s="42">
        <v>6342.05</v>
      </c>
      <c r="AG51" s="43">
        <f t="shared" si="33"/>
        <v>-1225.9499999999998</v>
      </c>
      <c r="AI51" s="6" t="s">
        <v>132</v>
      </c>
      <c r="AJ51" s="42" t="b">
        <f t="shared" si="6"/>
        <v>0</v>
      </c>
      <c r="AK51" s="6">
        <v>196</v>
      </c>
      <c r="AL51" s="6"/>
      <c r="AM51" s="6"/>
      <c r="AO51" s="72">
        <v>3316185376</v>
      </c>
      <c r="AP51" s="42" t="b">
        <f t="shared" si="16"/>
        <v>0</v>
      </c>
      <c r="AR51" s="201">
        <f t="shared" si="17"/>
        <v>10</v>
      </c>
      <c r="AS51" s="201">
        <f t="shared" si="18"/>
        <v>5</v>
      </c>
      <c r="AT51" s="42">
        <v>5</v>
      </c>
    </row>
    <row r="52" spans="1:46">
      <c r="A52" s="35">
        <v>42</v>
      </c>
      <c r="B52" s="82">
        <v>102032852951</v>
      </c>
      <c r="C52" s="90">
        <v>3317057005</v>
      </c>
      <c r="D52" s="71" t="s">
        <v>346</v>
      </c>
      <c r="E52" s="6">
        <v>19</v>
      </c>
      <c r="F52" s="36">
        <v>636</v>
      </c>
      <c r="G52" s="85">
        <v>3</v>
      </c>
      <c r="H52" s="9">
        <v>5</v>
      </c>
      <c r="I52" s="37">
        <f t="shared" si="20"/>
        <v>8</v>
      </c>
      <c r="J52" s="38">
        <f t="shared" si="21"/>
        <v>1908</v>
      </c>
      <c r="K52" s="38">
        <f t="shared" si="22"/>
        <v>3180</v>
      </c>
      <c r="L52" s="38">
        <f t="shared" si="9"/>
        <v>5088</v>
      </c>
      <c r="M52" s="38">
        <f t="shared" si="23"/>
        <v>1650</v>
      </c>
      <c r="N52" s="39">
        <f t="shared" si="24"/>
        <v>83</v>
      </c>
      <c r="O52" s="38">
        <f t="shared" si="25"/>
        <v>3355</v>
      </c>
      <c r="P52" s="38">
        <f t="shared" si="26"/>
        <v>5088</v>
      </c>
      <c r="Q52" s="39">
        <f t="shared" si="27"/>
        <v>198</v>
      </c>
      <c r="R52" s="39">
        <f t="shared" si="13"/>
        <v>0</v>
      </c>
      <c r="S52" s="39">
        <f t="shared" si="28"/>
        <v>38</v>
      </c>
      <c r="T52" s="39"/>
      <c r="U52" s="6"/>
      <c r="V52" s="4"/>
      <c r="W52" s="7"/>
      <c r="X52" s="2"/>
      <c r="Y52" s="39">
        <f t="shared" si="29"/>
        <v>236</v>
      </c>
      <c r="Z52" s="40">
        <f t="shared" si="30"/>
        <v>4852</v>
      </c>
      <c r="AA52" s="10">
        <v>500</v>
      </c>
      <c r="AB52" s="40">
        <f t="shared" si="31"/>
        <v>4352</v>
      </c>
      <c r="AC52" s="41">
        <f t="shared" si="32"/>
        <v>-4333</v>
      </c>
      <c r="AD52" s="42" t="e">
        <f>VLOOKUP(D52,#REF!,2,0)</f>
        <v>#REF!</v>
      </c>
      <c r="AF52" s="42">
        <v>14061.7</v>
      </c>
      <c r="AG52" s="43">
        <f t="shared" si="33"/>
        <v>9709.7000000000007</v>
      </c>
      <c r="AI52" s="6" t="s">
        <v>134</v>
      </c>
      <c r="AJ52" s="42" t="b">
        <f t="shared" si="6"/>
        <v>0</v>
      </c>
      <c r="AK52" s="6">
        <v>276</v>
      </c>
      <c r="AL52" s="6"/>
      <c r="AM52" s="6">
        <v>4000</v>
      </c>
      <c r="AO52" s="72">
        <v>3315199679</v>
      </c>
      <c r="AP52" s="42" t="b">
        <f t="shared" si="16"/>
        <v>0</v>
      </c>
      <c r="AR52" s="201">
        <f t="shared" si="17"/>
        <v>11</v>
      </c>
      <c r="AS52" s="201">
        <f t="shared" si="18"/>
        <v>6</v>
      </c>
      <c r="AT52" s="42">
        <v>5</v>
      </c>
    </row>
    <row r="53" spans="1:46">
      <c r="A53" s="35">
        <v>43</v>
      </c>
      <c r="B53" s="82">
        <v>101951607397</v>
      </c>
      <c r="C53" s="90">
        <v>3315199534</v>
      </c>
      <c r="D53" s="71" t="s">
        <v>208</v>
      </c>
      <c r="E53" s="6">
        <v>28</v>
      </c>
      <c r="F53" s="36">
        <v>636</v>
      </c>
      <c r="G53" s="85">
        <v>13</v>
      </c>
      <c r="H53" s="9">
        <v>5</v>
      </c>
      <c r="I53" s="37">
        <f t="shared" si="20"/>
        <v>18</v>
      </c>
      <c r="J53" s="38">
        <f t="shared" si="21"/>
        <v>8268</v>
      </c>
      <c r="K53" s="38">
        <f t="shared" si="22"/>
        <v>3180</v>
      </c>
      <c r="L53" s="38">
        <f t="shared" si="9"/>
        <v>11448</v>
      </c>
      <c r="M53" s="38">
        <f t="shared" si="23"/>
        <v>7150</v>
      </c>
      <c r="N53" s="39">
        <f t="shared" si="24"/>
        <v>358</v>
      </c>
      <c r="O53" s="38">
        <f t="shared" si="25"/>
        <v>3940</v>
      </c>
      <c r="P53" s="38">
        <f t="shared" si="26"/>
        <v>11448</v>
      </c>
      <c r="Q53" s="39">
        <f t="shared" si="27"/>
        <v>858</v>
      </c>
      <c r="R53" s="39">
        <f t="shared" si="13"/>
        <v>200</v>
      </c>
      <c r="S53" s="39">
        <f t="shared" si="28"/>
        <v>86</v>
      </c>
      <c r="T53" s="39"/>
      <c r="U53" s="6"/>
      <c r="V53" s="4"/>
      <c r="W53" s="7"/>
      <c r="X53" s="2"/>
      <c r="Y53" s="39">
        <f t="shared" si="29"/>
        <v>1144</v>
      </c>
      <c r="Z53" s="40">
        <f t="shared" si="30"/>
        <v>10304</v>
      </c>
      <c r="AA53" s="10">
        <v>500</v>
      </c>
      <c r="AB53" s="40">
        <f t="shared" si="31"/>
        <v>9804</v>
      </c>
      <c r="AC53" s="41">
        <f t="shared" si="32"/>
        <v>-9776</v>
      </c>
      <c r="AD53" s="42" t="e">
        <f>VLOOKUP(D53,#REF!,2,0)</f>
        <v>#REF!</v>
      </c>
      <c r="AE53" s="42" t="s">
        <v>88</v>
      </c>
      <c r="AF53" s="42">
        <v>11889.4</v>
      </c>
      <c r="AG53" s="43">
        <f t="shared" si="33"/>
        <v>2085.3999999999996</v>
      </c>
      <c r="AI53" s="6" t="s">
        <v>103</v>
      </c>
      <c r="AJ53" s="42" t="b">
        <f t="shared" si="6"/>
        <v>0</v>
      </c>
      <c r="AK53" s="6">
        <v>284</v>
      </c>
      <c r="AL53" s="6"/>
      <c r="AM53" s="6"/>
      <c r="AO53" s="72">
        <v>3316330556</v>
      </c>
      <c r="AP53" s="42" t="b">
        <f t="shared" si="16"/>
        <v>0</v>
      </c>
      <c r="AR53" s="201">
        <f t="shared" si="17"/>
        <v>10</v>
      </c>
      <c r="AS53" s="201">
        <f t="shared" si="18"/>
        <v>5</v>
      </c>
      <c r="AT53" s="42">
        <v>5</v>
      </c>
    </row>
    <row r="54" spans="1:46">
      <c r="A54" s="35">
        <v>44</v>
      </c>
      <c r="B54" s="82">
        <v>102090872186</v>
      </c>
      <c r="C54" s="90">
        <v>3316481452</v>
      </c>
      <c r="D54" s="71" t="s">
        <v>176</v>
      </c>
      <c r="E54" s="6">
        <v>28</v>
      </c>
      <c r="F54" s="36">
        <v>636</v>
      </c>
      <c r="G54" s="85">
        <v>9</v>
      </c>
      <c r="H54" s="9">
        <v>5</v>
      </c>
      <c r="I54" s="37">
        <f t="shared" si="20"/>
        <v>14</v>
      </c>
      <c r="J54" s="38">
        <f t="shared" si="21"/>
        <v>5724</v>
      </c>
      <c r="K54" s="38">
        <f t="shared" si="22"/>
        <v>3180</v>
      </c>
      <c r="L54" s="38">
        <f t="shared" si="9"/>
        <v>8904</v>
      </c>
      <c r="M54" s="38">
        <f t="shared" si="23"/>
        <v>4950</v>
      </c>
      <c r="N54" s="39">
        <f t="shared" si="24"/>
        <v>248</v>
      </c>
      <c r="O54" s="38">
        <f t="shared" si="25"/>
        <v>3706</v>
      </c>
      <c r="P54" s="38">
        <f t="shared" si="26"/>
        <v>8904</v>
      </c>
      <c r="Q54" s="39">
        <f t="shared" si="27"/>
        <v>594</v>
      </c>
      <c r="R54" s="39">
        <f t="shared" si="13"/>
        <v>175</v>
      </c>
      <c r="S54" s="39">
        <f t="shared" si="28"/>
        <v>67</v>
      </c>
      <c r="T54" s="39"/>
      <c r="U54" s="6"/>
      <c r="V54" s="4"/>
      <c r="W54" s="7"/>
      <c r="X54" s="2"/>
      <c r="Y54" s="39">
        <f t="shared" si="29"/>
        <v>836</v>
      </c>
      <c r="Z54" s="40">
        <f t="shared" si="30"/>
        <v>8068</v>
      </c>
      <c r="AA54" s="10">
        <v>500</v>
      </c>
      <c r="AB54" s="40">
        <f t="shared" si="31"/>
        <v>7568</v>
      </c>
      <c r="AC54" s="41">
        <f t="shared" si="32"/>
        <v>-7540</v>
      </c>
      <c r="AD54" s="42" t="e">
        <f>VLOOKUP(D54,#REF!,2,0)</f>
        <v>#REF!</v>
      </c>
      <c r="AE54" s="42" t="s">
        <v>19</v>
      </c>
      <c r="AF54" s="42">
        <v>9930.4</v>
      </c>
      <c r="AG54" s="43">
        <f t="shared" si="33"/>
        <v>2362.3999999999996</v>
      </c>
      <c r="AI54" s="6" t="s">
        <v>100</v>
      </c>
      <c r="AJ54" s="42" t="b">
        <f t="shared" si="6"/>
        <v>0</v>
      </c>
      <c r="AK54" s="6">
        <v>310</v>
      </c>
      <c r="AL54" s="6">
        <v>84</v>
      </c>
      <c r="AM54" s="6"/>
      <c r="AO54" s="72">
        <v>3310316931</v>
      </c>
      <c r="AP54" s="42" t="b">
        <f t="shared" si="16"/>
        <v>0</v>
      </c>
      <c r="AR54" s="201">
        <f t="shared" si="17"/>
        <v>14</v>
      </c>
      <c r="AS54" s="201">
        <f t="shared" si="18"/>
        <v>9</v>
      </c>
      <c r="AT54" s="42">
        <v>5</v>
      </c>
    </row>
    <row r="55" spans="1:46" s="27" customFormat="1">
      <c r="A55" s="35">
        <v>45</v>
      </c>
      <c r="B55" s="89">
        <v>101522138160</v>
      </c>
      <c r="C55" s="90">
        <v>3311953721</v>
      </c>
      <c r="D55" s="71" t="s">
        <v>221</v>
      </c>
      <c r="E55" s="6">
        <v>23.5</v>
      </c>
      <c r="F55" s="36">
        <v>636</v>
      </c>
      <c r="G55" s="86">
        <v>7.5</v>
      </c>
      <c r="H55" s="9">
        <v>5</v>
      </c>
      <c r="I55" s="37">
        <f t="shared" si="20"/>
        <v>12.5</v>
      </c>
      <c r="J55" s="38">
        <f t="shared" si="21"/>
        <v>4770</v>
      </c>
      <c r="K55" s="38">
        <f t="shared" si="22"/>
        <v>3180</v>
      </c>
      <c r="L55" s="38">
        <f t="shared" si="9"/>
        <v>7950</v>
      </c>
      <c r="M55" s="38">
        <f t="shared" si="23"/>
        <v>4125</v>
      </c>
      <c r="N55" s="39">
        <f t="shared" si="24"/>
        <v>206</v>
      </c>
      <c r="O55" s="38">
        <f t="shared" si="25"/>
        <v>3619</v>
      </c>
      <c r="P55" s="38">
        <f t="shared" si="26"/>
        <v>7950</v>
      </c>
      <c r="Q55" s="39">
        <f t="shared" si="27"/>
        <v>495</v>
      </c>
      <c r="R55" s="39">
        <f t="shared" si="13"/>
        <v>175</v>
      </c>
      <c r="S55" s="39">
        <f t="shared" si="28"/>
        <v>60</v>
      </c>
      <c r="T55" s="39"/>
      <c r="U55" s="6"/>
      <c r="V55" s="4"/>
      <c r="W55" s="7"/>
      <c r="X55" s="2"/>
      <c r="Y55" s="39">
        <f t="shared" si="29"/>
        <v>730</v>
      </c>
      <c r="Z55" s="40">
        <f t="shared" si="30"/>
        <v>7220</v>
      </c>
      <c r="AA55" s="10">
        <v>500</v>
      </c>
      <c r="AB55" s="40">
        <f t="shared" si="31"/>
        <v>6720</v>
      </c>
      <c r="AC55" s="41">
        <f t="shared" si="32"/>
        <v>-6696.5</v>
      </c>
      <c r="AD55" s="42" t="e">
        <f>VLOOKUP(D55,#REF!,2,0)</f>
        <v>#REF!</v>
      </c>
      <c r="AE55" s="42"/>
      <c r="AF55" s="42">
        <v>14242.1</v>
      </c>
      <c r="AG55" s="43">
        <f t="shared" si="33"/>
        <v>7522.1</v>
      </c>
      <c r="AI55" s="6" t="s">
        <v>133</v>
      </c>
      <c r="AJ55" s="42" t="b">
        <f t="shared" si="6"/>
        <v>0</v>
      </c>
      <c r="AK55" s="6">
        <v>25</v>
      </c>
      <c r="AL55" s="6"/>
      <c r="AM55" s="6"/>
      <c r="AO55" s="72">
        <v>3313806736</v>
      </c>
      <c r="AP55" s="42" t="b">
        <f t="shared" si="16"/>
        <v>0</v>
      </c>
      <c r="AR55" s="201">
        <f t="shared" si="17"/>
        <v>11</v>
      </c>
      <c r="AS55" s="201">
        <f t="shared" si="18"/>
        <v>6</v>
      </c>
      <c r="AT55" s="42">
        <v>5</v>
      </c>
    </row>
    <row r="56" spans="1:46" s="27" customFormat="1">
      <c r="A56" s="35">
        <v>46</v>
      </c>
      <c r="B56" s="82">
        <v>101084612898</v>
      </c>
      <c r="C56" s="90">
        <v>3317595184</v>
      </c>
      <c r="D56" s="71" t="s">
        <v>338</v>
      </c>
      <c r="E56" s="6">
        <v>17</v>
      </c>
      <c r="F56" s="36">
        <v>636</v>
      </c>
      <c r="G56" s="85">
        <v>6</v>
      </c>
      <c r="H56" s="9">
        <v>5</v>
      </c>
      <c r="I56" s="37">
        <f t="shared" si="20"/>
        <v>11</v>
      </c>
      <c r="J56" s="38">
        <f t="shared" si="21"/>
        <v>3816</v>
      </c>
      <c r="K56" s="38">
        <f t="shared" si="22"/>
        <v>3180</v>
      </c>
      <c r="L56" s="38">
        <f t="shared" si="9"/>
        <v>6996</v>
      </c>
      <c r="M56" s="38">
        <f t="shared" si="23"/>
        <v>3300</v>
      </c>
      <c r="N56" s="39">
        <f t="shared" si="24"/>
        <v>165</v>
      </c>
      <c r="O56" s="38">
        <f t="shared" si="25"/>
        <v>3531</v>
      </c>
      <c r="P56" s="38">
        <f t="shared" si="26"/>
        <v>6996</v>
      </c>
      <c r="Q56" s="39">
        <f t="shared" si="27"/>
        <v>396</v>
      </c>
      <c r="R56" s="39">
        <f t="shared" si="13"/>
        <v>0</v>
      </c>
      <c r="S56" s="39">
        <f t="shared" si="28"/>
        <v>52</v>
      </c>
      <c r="T56" s="39"/>
      <c r="U56" s="6"/>
      <c r="V56" s="4"/>
      <c r="W56" s="7"/>
      <c r="X56" s="2"/>
      <c r="Y56" s="39">
        <f t="shared" si="29"/>
        <v>448</v>
      </c>
      <c r="Z56" s="40">
        <f t="shared" si="30"/>
        <v>6548</v>
      </c>
      <c r="AA56" s="10">
        <v>500</v>
      </c>
      <c r="AB56" s="40">
        <f t="shared" si="31"/>
        <v>6048</v>
      </c>
      <c r="AC56" s="41">
        <f t="shared" si="32"/>
        <v>-6031</v>
      </c>
      <c r="AD56" s="42" t="e">
        <f>VLOOKUP(D56,#REF!,2,0)</f>
        <v>#REF!</v>
      </c>
      <c r="AE56" s="42" t="s">
        <v>49</v>
      </c>
      <c r="AF56" s="42">
        <v>17917</v>
      </c>
      <c r="AG56" s="43">
        <f t="shared" si="33"/>
        <v>11869</v>
      </c>
      <c r="AI56" s="6" t="s">
        <v>89</v>
      </c>
      <c r="AJ56" s="42" t="b">
        <f t="shared" si="6"/>
        <v>0</v>
      </c>
      <c r="AK56" s="6">
        <v>497</v>
      </c>
      <c r="AL56" s="6"/>
      <c r="AM56" s="6"/>
      <c r="AO56" s="72">
        <v>3311114147</v>
      </c>
      <c r="AP56" s="42" t="b">
        <f t="shared" si="16"/>
        <v>0</v>
      </c>
      <c r="AR56" s="201">
        <f t="shared" si="17"/>
        <v>6</v>
      </c>
      <c r="AS56" s="201">
        <f t="shared" si="18"/>
        <v>1</v>
      </c>
      <c r="AT56" s="42">
        <v>5</v>
      </c>
    </row>
    <row r="57" spans="1:46" s="27" customFormat="1">
      <c r="A57" s="35">
        <v>47</v>
      </c>
      <c r="B57" s="82">
        <v>101732689727</v>
      </c>
      <c r="C57" s="90">
        <v>3316185376</v>
      </c>
      <c r="D57" s="71" t="s">
        <v>187</v>
      </c>
      <c r="E57" s="6">
        <v>0</v>
      </c>
      <c r="F57" s="36">
        <v>636</v>
      </c>
      <c r="G57" s="85">
        <v>0</v>
      </c>
      <c r="H57" s="9"/>
      <c r="I57" s="37">
        <f t="shared" si="20"/>
        <v>0</v>
      </c>
      <c r="J57" s="38">
        <f t="shared" si="21"/>
        <v>0</v>
      </c>
      <c r="K57" s="38">
        <f t="shared" si="22"/>
        <v>0</v>
      </c>
      <c r="L57" s="38">
        <f t="shared" si="9"/>
        <v>0</v>
      </c>
      <c r="M57" s="38">
        <f t="shared" si="23"/>
        <v>0</v>
      </c>
      <c r="N57" s="39">
        <f t="shared" si="24"/>
        <v>0</v>
      </c>
      <c r="O57" s="38">
        <f t="shared" si="25"/>
        <v>0</v>
      </c>
      <c r="P57" s="38">
        <f t="shared" si="26"/>
        <v>0</v>
      </c>
      <c r="Q57" s="39">
        <f t="shared" si="27"/>
        <v>0</v>
      </c>
      <c r="R57" s="39">
        <f t="shared" si="13"/>
        <v>0</v>
      </c>
      <c r="S57" s="39">
        <f t="shared" si="28"/>
        <v>0</v>
      </c>
      <c r="T57" s="39"/>
      <c r="U57" s="6"/>
      <c r="V57" s="4"/>
      <c r="W57" s="7"/>
      <c r="X57" s="2"/>
      <c r="Y57" s="39">
        <f t="shared" si="29"/>
        <v>0</v>
      </c>
      <c r="Z57" s="40">
        <f t="shared" si="30"/>
        <v>0</v>
      </c>
      <c r="AA57" s="10">
        <v>500</v>
      </c>
      <c r="AB57" s="40">
        <f t="shared" si="31"/>
        <v>-500</v>
      </c>
      <c r="AC57" s="41">
        <f t="shared" si="32"/>
        <v>500</v>
      </c>
      <c r="AD57" s="42" t="e">
        <f>VLOOKUP(D57,#REF!,2,0)</f>
        <v>#REF!</v>
      </c>
      <c r="AE57" s="42" t="s">
        <v>6</v>
      </c>
      <c r="AF57" s="42">
        <v>12413.05</v>
      </c>
      <c r="AG57" s="43">
        <f t="shared" si="33"/>
        <v>12913.05</v>
      </c>
      <c r="AI57" s="6" t="s">
        <v>140</v>
      </c>
      <c r="AJ57" s="42" t="b">
        <f t="shared" si="6"/>
        <v>0</v>
      </c>
      <c r="AK57" s="6">
        <v>334</v>
      </c>
      <c r="AL57" s="6">
        <v>50</v>
      </c>
      <c r="AM57" s="6"/>
      <c r="AO57" s="76">
        <v>3311361569</v>
      </c>
      <c r="AP57" s="42" t="b">
        <f t="shared" si="16"/>
        <v>0</v>
      </c>
      <c r="AR57" s="201">
        <f t="shared" si="17"/>
        <v>0</v>
      </c>
      <c r="AS57" s="201">
        <f t="shared" si="18"/>
        <v>-5</v>
      </c>
      <c r="AT57" s="42">
        <v>5</v>
      </c>
    </row>
    <row r="58" spans="1:46" s="27" customFormat="1">
      <c r="A58" s="35">
        <v>48</v>
      </c>
      <c r="B58" s="82">
        <v>101902123648</v>
      </c>
      <c r="C58" s="90">
        <v>3315199679</v>
      </c>
      <c r="D58" s="71" t="s">
        <v>209</v>
      </c>
      <c r="E58" s="6">
        <v>22.5</v>
      </c>
      <c r="F58" s="36">
        <v>636</v>
      </c>
      <c r="G58" s="85">
        <v>5.5</v>
      </c>
      <c r="H58" s="9">
        <v>5</v>
      </c>
      <c r="I58" s="37">
        <f t="shared" si="20"/>
        <v>10.5</v>
      </c>
      <c r="J58" s="38">
        <f t="shared" si="21"/>
        <v>3498</v>
      </c>
      <c r="K58" s="38">
        <f t="shared" si="22"/>
        <v>3180</v>
      </c>
      <c r="L58" s="38">
        <f t="shared" si="9"/>
        <v>6678</v>
      </c>
      <c r="M58" s="38">
        <f t="shared" si="23"/>
        <v>3025</v>
      </c>
      <c r="N58" s="39">
        <f t="shared" si="24"/>
        <v>151</v>
      </c>
      <c r="O58" s="38">
        <f t="shared" si="25"/>
        <v>3502</v>
      </c>
      <c r="P58" s="38">
        <f t="shared" si="26"/>
        <v>6678</v>
      </c>
      <c r="Q58" s="39">
        <f t="shared" si="27"/>
        <v>363</v>
      </c>
      <c r="R58" s="39">
        <f t="shared" si="13"/>
        <v>0</v>
      </c>
      <c r="S58" s="39">
        <f t="shared" si="28"/>
        <v>50</v>
      </c>
      <c r="T58" s="39"/>
      <c r="U58" s="6"/>
      <c r="V58" s="4"/>
      <c r="W58" s="7"/>
      <c r="X58" s="2"/>
      <c r="Y58" s="39">
        <f t="shared" si="29"/>
        <v>413</v>
      </c>
      <c r="Z58" s="40">
        <f t="shared" si="30"/>
        <v>6265</v>
      </c>
      <c r="AA58" s="10">
        <v>500</v>
      </c>
      <c r="AB58" s="40">
        <f t="shared" si="31"/>
        <v>5765</v>
      </c>
      <c r="AC58" s="41">
        <f t="shared" si="32"/>
        <v>-5742.5</v>
      </c>
      <c r="AD58" s="42" t="e">
        <f>VLOOKUP(D58,#REF!,2,0)</f>
        <v>#REF!</v>
      </c>
      <c r="AE58" s="42"/>
      <c r="AF58" s="42">
        <v>14621</v>
      </c>
      <c r="AG58" s="43">
        <f t="shared" si="33"/>
        <v>8856</v>
      </c>
      <c r="AI58" s="6"/>
      <c r="AJ58" s="42"/>
      <c r="AK58" s="6"/>
      <c r="AL58" s="6"/>
      <c r="AM58" s="6"/>
      <c r="AO58" s="72">
        <v>3314013802</v>
      </c>
      <c r="AP58" s="42" t="b">
        <f t="shared" si="16"/>
        <v>0</v>
      </c>
      <c r="AR58" s="201">
        <f t="shared" si="17"/>
        <v>12</v>
      </c>
      <c r="AS58" s="201">
        <f t="shared" si="18"/>
        <v>7</v>
      </c>
      <c r="AT58" s="42">
        <v>5</v>
      </c>
    </row>
    <row r="59" spans="1:46" s="27" customFormat="1">
      <c r="A59" s="35">
        <v>49</v>
      </c>
      <c r="B59" s="82">
        <v>102062806876</v>
      </c>
      <c r="C59" s="90">
        <v>3316290554</v>
      </c>
      <c r="D59" s="71" t="s">
        <v>184</v>
      </c>
      <c r="E59" s="6">
        <v>22.5</v>
      </c>
      <c r="F59" s="36">
        <v>636</v>
      </c>
      <c r="G59" s="85">
        <v>7.5</v>
      </c>
      <c r="H59" s="9">
        <v>5</v>
      </c>
      <c r="I59" s="37">
        <f t="shared" si="20"/>
        <v>12.5</v>
      </c>
      <c r="J59" s="38">
        <f t="shared" si="21"/>
        <v>4770</v>
      </c>
      <c r="K59" s="38">
        <f t="shared" si="22"/>
        <v>3180</v>
      </c>
      <c r="L59" s="38">
        <f t="shared" si="9"/>
        <v>7950</v>
      </c>
      <c r="M59" s="38">
        <f t="shared" si="23"/>
        <v>4125</v>
      </c>
      <c r="N59" s="39">
        <f t="shared" si="24"/>
        <v>206</v>
      </c>
      <c r="O59" s="38">
        <f t="shared" si="25"/>
        <v>3619</v>
      </c>
      <c r="P59" s="38">
        <f t="shared" si="26"/>
        <v>7950</v>
      </c>
      <c r="Q59" s="39">
        <f t="shared" si="27"/>
        <v>495</v>
      </c>
      <c r="R59" s="39">
        <f t="shared" si="13"/>
        <v>175</v>
      </c>
      <c r="S59" s="39">
        <f t="shared" si="28"/>
        <v>60</v>
      </c>
      <c r="T59" s="39"/>
      <c r="U59" s="6"/>
      <c r="V59" s="4"/>
      <c r="W59" s="7"/>
      <c r="X59" s="2"/>
      <c r="Y59" s="39">
        <f t="shared" si="29"/>
        <v>730</v>
      </c>
      <c r="Z59" s="40">
        <f t="shared" si="30"/>
        <v>7220</v>
      </c>
      <c r="AA59" s="10">
        <v>500</v>
      </c>
      <c r="AB59" s="40">
        <f t="shared" si="31"/>
        <v>6720</v>
      </c>
      <c r="AC59" s="41">
        <f t="shared" si="32"/>
        <v>-6697.5</v>
      </c>
      <c r="AD59" s="42" t="e">
        <f>VLOOKUP(D59,#REF!,2,0)</f>
        <v>#REF!</v>
      </c>
      <c r="AE59" s="42"/>
      <c r="AF59" s="42">
        <v>14900</v>
      </c>
      <c r="AG59" s="43">
        <f t="shared" si="33"/>
        <v>8180</v>
      </c>
      <c r="AI59" s="6" t="s">
        <v>1</v>
      </c>
      <c r="AJ59" s="42" t="b">
        <f t="shared" ref="AJ59:AJ96" si="34">D59=AI59</f>
        <v>0</v>
      </c>
      <c r="AK59" s="6">
        <v>572</v>
      </c>
      <c r="AL59" s="6"/>
      <c r="AM59" s="6"/>
      <c r="AO59" s="72">
        <v>3317026055</v>
      </c>
      <c r="AP59" s="42" t="b">
        <f t="shared" si="16"/>
        <v>0</v>
      </c>
      <c r="AR59" s="201">
        <f t="shared" si="17"/>
        <v>10</v>
      </c>
      <c r="AS59" s="201">
        <f t="shared" si="18"/>
        <v>5</v>
      </c>
      <c r="AT59" s="42">
        <v>5</v>
      </c>
    </row>
    <row r="60" spans="1:46" s="27" customFormat="1">
      <c r="A60" s="35">
        <v>50</v>
      </c>
      <c r="B60" s="82">
        <v>101407413648</v>
      </c>
      <c r="C60" s="90">
        <v>3310316931</v>
      </c>
      <c r="D60" s="71" t="s">
        <v>232</v>
      </c>
      <c r="E60" s="6">
        <v>26</v>
      </c>
      <c r="F60" s="36">
        <v>636</v>
      </c>
      <c r="G60" s="85">
        <v>11</v>
      </c>
      <c r="H60" s="9">
        <v>5</v>
      </c>
      <c r="I60" s="37">
        <f t="shared" si="20"/>
        <v>16</v>
      </c>
      <c r="J60" s="38">
        <f t="shared" si="21"/>
        <v>6996</v>
      </c>
      <c r="K60" s="38">
        <f t="shared" si="22"/>
        <v>3180</v>
      </c>
      <c r="L60" s="38">
        <f t="shared" si="9"/>
        <v>10176</v>
      </c>
      <c r="M60" s="38">
        <f t="shared" si="23"/>
        <v>6050</v>
      </c>
      <c r="N60" s="39">
        <f t="shared" si="24"/>
        <v>303</v>
      </c>
      <c r="O60" s="38">
        <f t="shared" si="25"/>
        <v>3823</v>
      </c>
      <c r="P60" s="38">
        <f t="shared" si="26"/>
        <v>10176</v>
      </c>
      <c r="Q60" s="39">
        <f t="shared" si="27"/>
        <v>726</v>
      </c>
      <c r="R60" s="39">
        <f t="shared" si="13"/>
        <v>200</v>
      </c>
      <c r="S60" s="39">
        <f t="shared" si="28"/>
        <v>76</v>
      </c>
      <c r="T60" s="39"/>
      <c r="U60" s="6"/>
      <c r="V60" s="4"/>
      <c r="W60" s="7"/>
      <c r="X60" s="2"/>
      <c r="Y60" s="39">
        <f t="shared" si="29"/>
        <v>1002</v>
      </c>
      <c r="Z60" s="40">
        <f t="shared" si="30"/>
        <v>9174</v>
      </c>
      <c r="AA60" s="10">
        <v>500</v>
      </c>
      <c r="AB60" s="40">
        <f t="shared" si="31"/>
        <v>8674</v>
      </c>
      <c r="AC60" s="41">
        <f t="shared" si="32"/>
        <v>-8648</v>
      </c>
      <c r="AD60" s="42" t="e">
        <f>VLOOKUP(D60,#REF!,2,0)</f>
        <v>#REF!</v>
      </c>
      <c r="AE60" s="42" t="s">
        <v>90</v>
      </c>
      <c r="AF60" s="42">
        <v>1340</v>
      </c>
      <c r="AG60" s="43">
        <f t="shared" si="33"/>
        <v>-7334</v>
      </c>
      <c r="AI60" s="6" t="s">
        <v>111</v>
      </c>
      <c r="AJ60" s="42" t="b">
        <f t="shared" si="34"/>
        <v>0</v>
      </c>
      <c r="AK60" s="6">
        <v>41</v>
      </c>
      <c r="AL60" s="6"/>
      <c r="AM60" s="6">
        <v>5000</v>
      </c>
      <c r="AO60" s="72">
        <v>3311090288</v>
      </c>
      <c r="AP60" s="42" t="b">
        <f t="shared" si="16"/>
        <v>0</v>
      </c>
      <c r="AR60" s="201">
        <f t="shared" si="17"/>
        <v>10</v>
      </c>
      <c r="AS60" s="201">
        <f t="shared" si="18"/>
        <v>5</v>
      </c>
      <c r="AT60" s="42">
        <v>5</v>
      </c>
    </row>
    <row r="61" spans="1:46" s="46" customFormat="1">
      <c r="A61" s="35">
        <v>51</v>
      </c>
      <c r="B61" s="82">
        <v>101931400073</v>
      </c>
      <c r="C61" s="90">
        <v>3316313423</v>
      </c>
      <c r="D61" s="71" t="s">
        <v>183</v>
      </c>
      <c r="E61" s="6">
        <v>18</v>
      </c>
      <c r="F61" s="36">
        <v>636</v>
      </c>
      <c r="G61" s="85">
        <v>7</v>
      </c>
      <c r="H61" s="9">
        <v>5</v>
      </c>
      <c r="I61" s="37">
        <f t="shared" si="20"/>
        <v>12</v>
      </c>
      <c r="J61" s="38">
        <f t="shared" si="21"/>
        <v>4452</v>
      </c>
      <c r="K61" s="38">
        <f t="shared" si="22"/>
        <v>3180</v>
      </c>
      <c r="L61" s="38">
        <f t="shared" si="9"/>
        <v>7632</v>
      </c>
      <c r="M61" s="38">
        <f t="shared" si="23"/>
        <v>3850</v>
      </c>
      <c r="N61" s="39">
        <f t="shared" si="24"/>
        <v>193</v>
      </c>
      <c r="O61" s="38">
        <f t="shared" si="25"/>
        <v>3589</v>
      </c>
      <c r="P61" s="38">
        <f t="shared" si="26"/>
        <v>7632</v>
      </c>
      <c r="Q61" s="39">
        <f t="shared" si="27"/>
        <v>462</v>
      </c>
      <c r="R61" s="39">
        <f t="shared" si="13"/>
        <v>175</v>
      </c>
      <c r="S61" s="39">
        <f t="shared" si="28"/>
        <v>57</v>
      </c>
      <c r="T61" s="39"/>
      <c r="U61" s="6"/>
      <c r="V61" s="4"/>
      <c r="W61" s="7"/>
      <c r="X61" s="2"/>
      <c r="Y61" s="39">
        <f t="shared" si="29"/>
        <v>694</v>
      </c>
      <c r="Z61" s="40">
        <f t="shared" si="30"/>
        <v>6938</v>
      </c>
      <c r="AA61" s="10">
        <v>500</v>
      </c>
      <c r="AB61" s="40">
        <f t="shared" si="31"/>
        <v>6438</v>
      </c>
      <c r="AC61" s="41">
        <f t="shared" si="32"/>
        <v>-6420</v>
      </c>
      <c r="AD61" s="42" t="e">
        <f>VLOOKUP(D61,#REF!,2,0)</f>
        <v>#REF!</v>
      </c>
      <c r="AE61" s="42"/>
      <c r="AF61" s="42">
        <v>12542.4</v>
      </c>
      <c r="AG61" s="43">
        <f t="shared" si="33"/>
        <v>6104.4</v>
      </c>
      <c r="AI61" s="6" t="s">
        <v>50</v>
      </c>
      <c r="AJ61" s="42" t="b">
        <f t="shared" si="34"/>
        <v>0</v>
      </c>
      <c r="AK61" s="6">
        <v>293</v>
      </c>
      <c r="AL61" s="6"/>
      <c r="AM61" s="6"/>
      <c r="AO61" s="72">
        <v>3310279715</v>
      </c>
      <c r="AP61" s="42" t="b">
        <f t="shared" si="16"/>
        <v>0</v>
      </c>
      <c r="AR61" s="201">
        <f t="shared" si="17"/>
        <v>6</v>
      </c>
      <c r="AS61" s="201">
        <f t="shared" si="18"/>
        <v>1</v>
      </c>
      <c r="AT61" s="42">
        <v>5</v>
      </c>
    </row>
    <row r="62" spans="1:46" s="46" customFormat="1">
      <c r="A62" s="35">
        <v>52</v>
      </c>
      <c r="B62" s="82">
        <v>101805790352</v>
      </c>
      <c r="C62" s="90">
        <v>3313806736</v>
      </c>
      <c r="D62" s="71" t="s">
        <v>341</v>
      </c>
      <c r="E62" s="6">
        <v>23.5</v>
      </c>
      <c r="F62" s="36">
        <v>636</v>
      </c>
      <c r="G62" s="85">
        <v>8.5</v>
      </c>
      <c r="H62" s="9">
        <v>5</v>
      </c>
      <c r="I62" s="37">
        <f t="shared" si="20"/>
        <v>13.5</v>
      </c>
      <c r="J62" s="38">
        <f t="shared" si="21"/>
        <v>5406</v>
      </c>
      <c r="K62" s="38">
        <f t="shared" si="22"/>
        <v>3180</v>
      </c>
      <c r="L62" s="38">
        <f t="shared" si="9"/>
        <v>8586</v>
      </c>
      <c r="M62" s="38">
        <f t="shared" si="23"/>
        <v>4675</v>
      </c>
      <c r="N62" s="39">
        <f t="shared" si="24"/>
        <v>234</v>
      </c>
      <c r="O62" s="38">
        <f t="shared" si="25"/>
        <v>3677</v>
      </c>
      <c r="P62" s="38">
        <f>O62+N62+M62</f>
        <v>8586</v>
      </c>
      <c r="Q62" s="39">
        <f t="shared" si="27"/>
        <v>561</v>
      </c>
      <c r="R62" s="39">
        <f t="shared" si="13"/>
        <v>175</v>
      </c>
      <c r="S62" s="39">
        <f t="shared" si="28"/>
        <v>64</v>
      </c>
      <c r="T62" s="39"/>
      <c r="U62" s="6"/>
      <c r="V62" s="4"/>
      <c r="W62" s="7"/>
      <c r="X62" s="2"/>
      <c r="Y62" s="39">
        <f t="shared" si="29"/>
        <v>800</v>
      </c>
      <c r="Z62" s="40">
        <f t="shared" si="30"/>
        <v>7786</v>
      </c>
      <c r="AA62" s="10">
        <v>500</v>
      </c>
      <c r="AB62" s="40">
        <f t="shared" si="31"/>
        <v>7286</v>
      </c>
      <c r="AC62" s="41">
        <f t="shared" si="32"/>
        <v>-7262.5</v>
      </c>
      <c r="AD62" s="42" t="e">
        <f>VLOOKUP(D62,#REF!,2,0)</f>
        <v>#REF!</v>
      </c>
      <c r="AE62" s="42" t="s">
        <v>51</v>
      </c>
      <c r="AF62" s="42">
        <v>1432</v>
      </c>
      <c r="AG62" s="43">
        <f t="shared" si="33"/>
        <v>-5854</v>
      </c>
      <c r="AI62" s="6" t="s">
        <v>108</v>
      </c>
      <c r="AJ62" s="42" t="b">
        <f t="shared" si="34"/>
        <v>0</v>
      </c>
      <c r="AK62" s="6"/>
      <c r="AL62" s="6"/>
      <c r="AM62" s="6">
        <v>4000</v>
      </c>
      <c r="AO62" s="72">
        <v>3315397405</v>
      </c>
      <c r="AP62" s="42" t="b">
        <f t="shared" si="16"/>
        <v>0</v>
      </c>
      <c r="AR62" s="201">
        <f t="shared" si="17"/>
        <v>10</v>
      </c>
      <c r="AS62" s="201">
        <f t="shared" si="18"/>
        <v>5</v>
      </c>
      <c r="AT62" s="42">
        <v>5</v>
      </c>
    </row>
    <row r="63" spans="1:46" s="46" customFormat="1">
      <c r="A63" s="35">
        <v>53</v>
      </c>
      <c r="B63" s="82">
        <v>101486099649</v>
      </c>
      <c r="C63" s="90">
        <v>3311361569</v>
      </c>
      <c r="D63" s="71" t="s">
        <v>225</v>
      </c>
      <c r="E63" s="6">
        <v>24</v>
      </c>
      <c r="F63" s="36">
        <v>636</v>
      </c>
      <c r="G63" s="85">
        <v>9</v>
      </c>
      <c r="H63" s="9">
        <v>5</v>
      </c>
      <c r="I63" s="37">
        <f t="shared" si="20"/>
        <v>14</v>
      </c>
      <c r="J63" s="38">
        <f t="shared" si="21"/>
        <v>5724</v>
      </c>
      <c r="K63" s="38">
        <f t="shared" si="22"/>
        <v>3180</v>
      </c>
      <c r="L63" s="38">
        <f t="shared" si="9"/>
        <v>8904</v>
      </c>
      <c r="M63" s="38">
        <f t="shared" si="23"/>
        <v>4950</v>
      </c>
      <c r="N63" s="39">
        <f t="shared" si="24"/>
        <v>248</v>
      </c>
      <c r="O63" s="38">
        <f t="shared" si="25"/>
        <v>3706</v>
      </c>
      <c r="P63" s="38">
        <f t="shared" si="26"/>
        <v>8904</v>
      </c>
      <c r="Q63" s="39">
        <f t="shared" si="27"/>
        <v>594</v>
      </c>
      <c r="R63" s="39">
        <f t="shared" si="13"/>
        <v>175</v>
      </c>
      <c r="S63" s="39">
        <f t="shared" si="28"/>
        <v>67</v>
      </c>
      <c r="T63" s="39"/>
      <c r="U63" s="6"/>
      <c r="V63" s="4"/>
      <c r="W63" s="7"/>
      <c r="X63" s="2"/>
      <c r="Y63" s="39">
        <f t="shared" si="29"/>
        <v>836</v>
      </c>
      <c r="Z63" s="40">
        <f t="shared" si="30"/>
        <v>8068</v>
      </c>
      <c r="AA63" s="10">
        <v>500</v>
      </c>
      <c r="AB63" s="40">
        <f t="shared" si="31"/>
        <v>7568</v>
      </c>
      <c r="AC63" s="41">
        <f t="shared" si="32"/>
        <v>-7544</v>
      </c>
      <c r="AD63" s="42" t="e">
        <f>VLOOKUP(D63,#REF!,2,0)</f>
        <v>#REF!</v>
      </c>
      <c r="AE63" s="42" t="s">
        <v>31</v>
      </c>
      <c r="AF63" s="42">
        <v>6073.4</v>
      </c>
      <c r="AG63" s="43">
        <f t="shared" si="33"/>
        <v>-1494.6000000000004</v>
      </c>
      <c r="AI63" s="6" t="s">
        <v>104</v>
      </c>
      <c r="AJ63" s="42" t="b">
        <f t="shared" si="34"/>
        <v>0</v>
      </c>
      <c r="AK63" s="6">
        <v>50</v>
      </c>
      <c r="AL63" s="6"/>
      <c r="AM63" s="6">
        <v>5000</v>
      </c>
      <c r="AO63" s="72">
        <v>3313965630</v>
      </c>
      <c r="AP63" s="42" t="b">
        <f t="shared" si="16"/>
        <v>0</v>
      </c>
      <c r="AR63" s="201">
        <f t="shared" si="17"/>
        <v>10</v>
      </c>
      <c r="AS63" s="201">
        <f t="shared" si="18"/>
        <v>5</v>
      </c>
      <c r="AT63" s="42">
        <v>5</v>
      </c>
    </row>
    <row r="64" spans="1:46" s="46" customFormat="1">
      <c r="A64" s="35">
        <v>54</v>
      </c>
      <c r="B64" s="84">
        <v>102078951370</v>
      </c>
      <c r="C64" s="90">
        <v>3316473499</v>
      </c>
      <c r="D64" s="71" t="s">
        <v>181</v>
      </c>
      <c r="E64" s="6">
        <v>14.5</v>
      </c>
      <c r="F64" s="36">
        <v>636</v>
      </c>
      <c r="G64" s="85">
        <v>3.5</v>
      </c>
      <c r="H64" s="9">
        <v>5</v>
      </c>
      <c r="I64" s="37">
        <f t="shared" si="20"/>
        <v>8.5</v>
      </c>
      <c r="J64" s="38">
        <f t="shared" si="21"/>
        <v>2226</v>
      </c>
      <c r="K64" s="38">
        <f t="shared" si="22"/>
        <v>3180</v>
      </c>
      <c r="L64" s="38">
        <f t="shared" si="9"/>
        <v>5406</v>
      </c>
      <c r="M64" s="38">
        <f t="shared" si="23"/>
        <v>1925</v>
      </c>
      <c r="N64" s="39">
        <f t="shared" si="24"/>
        <v>96</v>
      </c>
      <c r="O64" s="38">
        <f t="shared" si="25"/>
        <v>3385</v>
      </c>
      <c r="P64" s="38">
        <f t="shared" si="26"/>
        <v>5406</v>
      </c>
      <c r="Q64" s="39">
        <f t="shared" si="27"/>
        <v>231</v>
      </c>
      <c r="R64" s="39">
        <f t="shared" si="13"/>
        <v>0</v>
      </c>
      <c r="S64" s="39">
        <f t="shared" si="28"/>
        <v>41</v>
      </c>
      <c r="T64" s="39"/>
      <c r="U64" s="6"/>
      <c r="V64" s="4"/>
      <c r="W64" s="7"/>
      <c r="X64" s="2"/>
      <c r="Y64" s="39">
        <f t="shared" si="29"/>
        <v>272</v>
      </c>
      <c r="Z64" s="40">
        <f t="shared" si="30"/>
        <v>5134</v>
      </c>
      <c r="AA64" s="10">
        <v>500</v>
      </c>
      <c r="AB64" s="40">
        <f t="shared" si="31"/>
        <v>4634</v>
      </c>
      <c r="AC64" s="41">
        <f t="shared" si="32"/>
        <v>-4619.5</v>
      </c>
      <c r="AD64" s="42" t="e">
        <f>VLOOKUP(D64,#REF!,2,0)</f>
        <v>#REF!</v>
      </c>
      <c r="AE64" s="42"/>
      <c r="AF64" s="42">
        <v>17194.400000000001</v>
      </c>
      <c r="AG64" s="43">
        <f t="shared" si="33"/>
        <v>12560.400000000001</v>
      </c>
      <c r="AI64" s="6" t="s">
        <v>147</v>
      </c>
      <c r="AJ64" s="42" t="b">
        <f t="shared" si="34"/>
        <v>0</v>
      </c>
      <c r="AK64" s="6">
        <v>221</v>
      </c>
      <c r="AL64" s="6"/>
      <c r="AM64" s="6"/>
      <c r="AO64" s="72">
        <v>3316063261</v>
      </c>
      <c r="AP64" s="42" t="b">
        <f t="shared" si="16"/>
        <v>0</v>
      </c>
      <c r="AR64" s="201">
        <f t="shared" si="17"/>
        <v>6</v>
      </c>
      <c r="AS64" s="201">
        <f t="shared" si="18"/>
        <v>1</v>
      </c>
      <c r="AT64" s="42">
        <v>5</v>
      </c>
    </row>
    <row r="65" spans="1:46" s="46" customFormat="1">
      <c r="A65" s="35">
        <v>55</v>
      </c>
      <c r="B65" s="83">
        <v>101492178974</v>
      </c>
      <c r="C65" s="90">
        <v>3311090288</v>
      </c>
      <c r="D65" s="71" t="s">
        <v>228</v>
      </c>
      <c r="E65" s="6">
        <v>30</v>
      </c>
      <c r="F65" s="36">
        <v>636</v>
      </c>
      <c r="G65" s="86">
        <v>13</v>
      </c>
      <c r="H65" s="9">
        <v>5</v>
      </c>
      <c r="I65" s="37">
        <f t="shared" si="20"/>
        <v>18</v>
      </c>
      <c r="J65" s="38">
        <f t="shared" si="21"/>
        <v>8268</v>
      </c>
      <c r="K65" s="38">
        <f t="shared" si="22"/>
        <v>3180</v>
      </c>
      <c r="L65" s="38">
        <f t="shared" si="9"/>
        <v>11448</v>
      </c>
      <c r="M65" s="38">
        <f t="shared" si="23"/>
        <v>7150</v>
      </c>
      <c r="N65" s="39">
        <f t="shared" si="24"/>
        <v>358</v>
      </c>
      <c r="O65" s="38">
        <f t="shared" si="25"/>
        <v>3940</v>
      </c>
      <c r="P65" s="38">
        <f t="shared" si="26"/>
        <v>11448</v>
      </c>
      <c r="Q65" s="39">
        <f t="shared" si="27"/>
        <v>858</v>
      </c>
      <c r="R65" s="39">
        <f t="shared" si="13"/>
        <v>200</v>
      </c>
      <c r="S65" s="39">
        <f t="shared" si="28"/>
        <v>86</v>
      </c>
      <c r="T65" s="39"/>
      <c r="U65" s="6"/>
      <c r="V65" s="4"/>
      <c r="W65" s="7"/>
      <c r="X65" s="2"/>
      <c r="Y65" s="39">
        <f t="shared" si="29"/>
        <v>1144</v>
      </c>
      <c r="Z65" s="40">
        <f t="shared" si="30"/>
        <v>10304</v>
      </c>
      <c r="AA65" s="10">
        <v>500</v>
      </c>
      <c r="AB65" s="40">
        <f t="shared" si="31"/>
        <v>9804</v>
      </c>
      <c r="AC65" s="41">
        <f t="shared" si="32"/>
        <v>-9774</v>
      </c>
      <c r="AD65" s="42" t="e">
        <f>VLOOKUP(D65,#REF!,2,0)</f>
        <v>#REF!</v>
      </c>
      <c r="AE65" s="42"/>
      <c r="AF65" s="42">
        <v>10329.049999999999</v>
      </c>
      <c r="AG65" s="43">
        <f t="shared" si="33"/>
        <v>525.04999999999927</v>
      </c>
      <c r="AI65" s="6" t="s">
        <v>125</v>
      </c>
      <c r="AJ65" s="42" t="b">
        <f t="shared" si="34"/>
        <v>0</v>
      </c>
      <c r="AK65" s="6">
        <v>163</v>
      </c>
      <c r="AL65" s="6">
        <v>16.8</v>
      </c>
      <c r="AM65" s="6"/>
      <c r="AO65" s="72">
        <v>3313948482</v>
      </c>
      <c r="AP65" s="42" t="b">
        <f t="shared" si="16"/>
        <v>0</v>
      </c>
      <c r="AR65" s="201">
        <f t="shared" si="17"/>
        <v>12</v>
      </c>
      <c r="AS65" s="201">
        <f t="shared" si="18"/>
        <v>7</v>
      </c>
      <c r="AT65" s="42">
        <v>5</v>
      </c>
    </row>
    <row r="66" spans="1:46" s="46" customFormat="1">
      <c r="A66" s="35">
        <v>56</v>
      </c>
      <c r="B66" s="88">
        <v>102043325341</v>
      </c>
      <c r="C66" s="90">
        <v>3316063261</v>
      </c>
      <c r="D66" s="71" t="s">
        <v>191</v>
      </c>
      <c r="E66" s="6">
        <v>27</v>
      </c>
      <c r="F66" s="36">
        <v>636</v>
      </c>
      <c r="G66" s="85">
        <v>10</v>
      </c>
      <c r="H66" s="9">
        <v>5</v>
      </c>
      <c r="I66" s="37">
        <f t="shared" si="20"/>
        <v>15</v>
      </c>
      <c r="J66" s="38">
        <f t="shared" si="21"/>
        <v>6360</v>
      </c>
      <c r="K66" s="38">
        <f t="shared" si="22"/>
        <v>3180</v>
      </c>
      <c r="L66" s="38">
        <f t="shared" si="9"/>
        <v>9540</v>
      </c>
      <c r="M66" s="38">
        <f t="shared" si="23"/>
        <v>5500</v>
      </c>
      <c r="N66" s="39">
        <f t="shared" si="24"/>
        <v>275</v>
      </c>
      <c r="O66" s="38">
        <f t="shared" si="25"/>
        <v>3765</v>
      </c>
      <c r="P66" s="38">
        <f t="shared" si="26"/>
        <v>9540</v>
      </c>
      <c r="Q66" s="39">
        <f t="shared" si="27"/>
        <v>660</v>
      </c>
      <c r="R66" s="39">
        <f t="shared" si="13"/>
        <v>175</v>
      </c>
      <c r="S66" s="39">
        <f t="shared" si="28"/>
        <v>72</v>
      </c>
      <c r="T66" s="39"/>
      <c r="U66" s="6"/>
      <c r="V66" s="4"/>
      <c r="W66" s="7"/>
      <c r="X66" s="2"/>
      <c r="Y66" s="39">
        <f t="shared" si="29"/>
        <v>907</v>
      </c>
      <c r="Z66" s="40">
        <f t="shared" si="30"/>
        <v>8633</v>
      </c>
      <c r="AA66" s="10">
        <v>500</v>
      </c>
      <c r="AB66" s="40">
        <f t="shared" si="31"/>
        <v>8133</v>
      </c>
      <c r="AC66" s="41">
        <f t="shared" si="32"/>
        <v>-8106</v>
      </c>
      <c r="AD66" s="42" t="e">
        <f>VLOOKUP(D66,#REF!,2,0)</f>
        <v>#REF!</v>
      </c>
      <c r="AE66" s="42" t="s">
        <v>21</v>
      </c>
      <c r="AF66" s="42">
        <v>9714</v>
      </c>
      <c r="AG66" s="43">
        <f t="shared" si="33"/>
        <v>1581</v>
      </c>
      <c r="AI66" s="6" t="s">
        <v>120</v>
      </c>
      <c r="AJ66" s="42" t="b">
        <f t="shared" si="34"/>
        <v>0</v>
      </c>
      <c r="AK66" s="6"/>
      <c r="AL66" s="6">
        <v>16.8</v>
      </c>
      <c r="AM66" s="6"/>
      <c r="AO66" s="78">
        <v>3315359456</v>
      </c>
      <c r="AP66" s="42" t="b">
        <f t="shared" si="16"/>
        <v>0</v>
      </c>
      <c r="AR66" s="201">
        <f t="shared" si="17"/>
        <v>12</v>
      </c>
      <c r="AS66" s="201">
        <f t="shared" si="18"/>
        <v>7</v>
      </c>
      <c r="AT66" s="42">
        <v>5</v>
      </c>
    </row>
    <row r="67" spans="1:46" s="46" customFormat="1">
      <c r="A67" s="35">
        <v>57</v>
      </c>
      <c r="B67" s="88">
        <v>101821692693</v>
      </c>
      <c r="C67" s="90">
        <v>3313965630</v>
      </c>
      <c r="D67" s="71" t="s">
        <v>216</v>
      </c>
      <c r="E67" s="6">
        <v>12.5</v>
      </c>
      <c r="F67" s="36">
        <v>636</v>
      </c>
      <c r="G67" s="85">
        <v>1.5</v>
      </c>
      <c r="H67" s="9">
        <v>5</v>
      </c>
      <c r="I67" s="37">
        <f t="shared" si="20"/>
        <v>6.5</v>
      </c>
      <c r="J67" s="38">
        <f t="shared" si="21"/>
        <v>954</v>
      </c>
      <c r="K67" s="38">
        <f t="shared" si="22"/>
        <v>3180</v>
      </c>
      <c r="L67" s="38">
        <f t="shared" si="9"/>
        <v>4134</v>
      </c>
      <c r="M67" s="38">
        <f t="shared" si="23"/>
        <v>825</v>
      </c>
      <c r="N67" s="39">
        <f t="shared" si="24"/>
        <v>41</v>
      </c>
      <c r="O67" s="38">
        <f t="shared" si="25"/>
        <v>3268</v>
      </c>
      <c r="P67" s="38">
        <f t="shared" si="26"/>
        <v>4134</v>
      </c>
      <c r="Q67" s="39">
        <f t="shared" si="27"/>
        <v>99</v>
      </c>
      <c r="R67" s="39">
        <f t="shared" si="13"/>
        <v>0</v>
      </c>
      <c r="S67" s="39">
        <f t="shared" si="28"/>
        <v>31</v>
      </c>
      <c r="T67" s="39"/>
      <c r="U67" s="6"/>
      <c r="V67" s="4"/>
      <c r="W67" s="7"/>
      <c r="X67" s="2"/>
      <c r="Y67" s="39">
        <f t="shared" si="29"/>
        <v>130</v>
      </c>
      <c r="Z67" s="40">
        <f t="shared" si="30"/>
        <v>4004</v>
      </c>
      <c r="AA67" s="10">
        <v>500</v>
      </c>
      <c r="AB67" s="40">
        <f t="shared" si="31"/>
        <v>3504</v>
      </c>
      <c r="AC67" s="41">
        <f t="shared" si="32"/>
        <v>-3491.5</v>
      </c>
      <c r="AD67" s="42" t="e">
        <f>VLOOKUP(D67,#REF!,2,0)</f>
        <v>#REF!</v>
      </c>
      <c r="AE67" s="42" t="s">
        <v>52</v>
      </c>
      <c r="AF67" s="42">
        <v>2162</v>
      </c>
      <c r="AG67" s="43">
        <f t="shared" si="33"/>
        <v>-1342</v>
      </c>
      <c r="AI67" s="6" t="s">
        <v>146</v>
      </c>
      <c r="AJ67" s="42" t="b">
        <f t="shared" si="34"/>
        <v>0</v>
      </c>
      <c r="AK67" s="6">
        <v>308</v>
      </c>
      <c r="AL67" s="6"/>
      <c r="AM67" s="6"/>
      <c r="AO67" s="72">
        <v>3308695163</v>
      </c>
      <c r="AP67" s="42" t="b">
        <f t="shared" si="16"/>
        <v>0</v>
      </c>
      <c r="AR67" s="201">
        <f t="shared" si="17"/>
        <v>6</v>
      </c>
      <c r="AS67" s="201">
        <f t="shared" si="18"/>
        <v>1</v>
      </c>
      <c r="AT67" s="42">
        <v>5</v>
      </c>
    </row>
    <row r="68" spans="1:46" s="46" customFormat="1">
      <c r="A68" s="35">
        <v>58</v>
      </c>
      <c r="B68" s="88">
        <v>101591620411</v>
      </c>
      <c r="C68" s="90">
        <v>3313948482</v>
      </c>
      <c r="D68" s="71" t="s">
        <v>217</v>
      </c>
      <c r="E68" s="6">
        <v>9</v>
      </c>
      <c r="F68" s="36">
        <v>636</v>
      </c>
      <c r="G68" s="85">
        <v>4</v>
      </c>
      <c r="H68" s="9">
        <v>5</v>
      </c>
      <c r="I68" s="37">
        <f t="shared" si="20"/>
        <v>9</v>
      </c>
      <c r="J68" s="38">
        <f t="shared" si="21"/>
        <v>2544</v>
      </c>
      <c r="K68" s="38">
        <f t="shared" si="22"/>
        <v>3180</v>
      </c>
      <c r="L68" s="38">
        <f t="shared" si="9"/>
        <v>5724</v>
      </c>
      <c r="M68" s="38">
        <f t="shared" si="23"/>
        <v>2200</v>
      </c>
      <c r="N68" s="39">
        <f t="shared" si="24"/>
        <v>110</v>
      </c>
      <c r="O68" s="38">
        <f t="shared" si="25"/>
        <v>3414</v>
      </c>
      <c r="P68" s="38">
        <f t="shared" si="26"/>
        <v>5724</v>
      </c>
      <c r="Q68" s="39">
        <f t="shared" si="27"/>
        <v>264</v>
      </c>
      <c r="R68" s="39">
        <f t="shared" si="13"/>
        <v>0</v>
      </c>
      <c r="S68" s="39">
        <f t="shared" si="28"/>
        <v>43</v>
      </c>
      <c r="T68" s="39"/>
      <c r="U68" s="6"/>
      <c r="V68" s="4"/>
      <c r="W68" s="7"/>
      <c r="X68" s="2"/>
      <c r="Y68" s="39">
        <f t="shared" si="29"/>
        <v>307</v>
      </c>
      <c r="Z68" s="40">
        <f t="shared" si="30"/>
        <v>5417</v>
      </c>
      <c r="AA68" s="10">
        <v>500</v>
      </c>
      <c r="AB68" s="40">
        <f t="shared" si="31"/>
        <v>4917</v>
      </c>
      <c r="AC68" s="41">
        <f t="shared" si="32"/>
        <v>-4908</v>
      </c>
      <c r="AD68" s="42" t="e">
        <f>VLOOKUP(D68,#REF!,2,0)</f>
        <v>#REF!</v>
      </c>
      <c r="AE68" s="42" t="s">
        <v>32</v>
      </c>
      <c r="AF68" s="42">
        <v>8596.4</v>
      </c>
      <c r="AG68" s="43">
        <f t="shared" si="33"/>
        <v>3679.3999999999996</v>
      </c>
      <c r="AI68" s="6" t="s">
        <v>91</v>
      </c>
      <c r="AJ68" s="42" t="b">
        <f t="shared" si="34"/>
        <v>0</v>
      </c>
      <c r="AK68" s="6">
        <v>210</v>
      </c>
      <c r="AL68" s="6">
        <v>16.8</v>
      </c>
      <c r="AM68" s="6">
        <v>5000</v>
      </c>
      <c r="AO68" s="72">
        <v>3315707279</v>
      </c>
      <c r="AP68" s="42" t="b">
        <f t="shared" si="16"/>
        <v>0</v>
      </c>
      <c r="AR68" s="201">
        <f t="shared" si="17"/>
        <v>0</v>
      </c>
      <c r="AS68" s="201">
        <f t="shared" si="18"/>
        <v>-5</v>
      </c>
      <c r="AT68" s="42">
        <v>5</v>
      </c>
    </row>
    <row r="69" spans="1:46" s="46" customFormat="1">
      <c r="A69" s="35">
        <v>59</v>
      </c>
      <c r="B69" s="88">
        <v>102235752061</v>
      </c>
      <c r="C69" s="90">
        <v>3317906217</v>
      </c>
      <c r="D69" s="71" t="s">
        <v>354</v>
      </c>
      <c r="E69" s="6">
        <v>22.5</v>
      </c>
      <c r="F69" s="36">
        <v>636</v>
      </c>
      <c r="G69" s="85">
        <v>9.5</v>
      </c>
      <c r="H69" s="9">
        <v>5</v>
      </c>
      <c r="I69" s="37">
        <f t="shared" si="20"/>
        <v>14.5</v>
      </c>
      <c r="J69" s="38">
        <f t="shared" si="21"/>
        <v>6042</v>
      </c>
      <c r="K69" s="38">
        <f t="shared" si="22"/>
        <v>3180</v>
      </c>
      <c r="L69" s="38">
        <f t="shared" si="9"/>
        <v>9222</v>
      </c>
      <c r="M69" s="38">
        <f t="shared" si="23"/>
        <v>5225</v>
      </c>
      <c r="N69" s="39">
        <f t="shared" si="24"/>
        <v>261</v>
      </c>
      <c r="O69" s="38">
        <f t="shared" si="25"/>
        <v>3736</v>
      </c>
      <c r="P69" s="38">
        <f t="shared" si="26"/>
        <v>9222</v>
      </c>
      <c r="Q69" s="39">
        <f t="shared" si="27"/>
        <v>627</v>
      </c>
      <c r="R69" s="39">
        <f t="shared" si="13"/>
        <v>175</v>
      </c>
      <c r="S69" s="39">
        <f t="shared" si="28"/>
        <v>69</v>
      </c>
      <c r="T69" s="39"/>
      <c r="U69" s="6"/>
      <c r="V69" s="4"/>
      <c r="W69" s="7"/>
      <c r="X69" s="2"/>
      <c r="Y69" s="39">
        <f t="shared" si="29"/>
        <v>871</v>
      </c>
      <c r="Z69" s="40">
        <f t="shared" si="30"/>
        <v>8351</v>
      </c>
      <c r="AA69" s="10">
        <v>500</v>
      </c>
      <c r="AB69" s="40">
        <f t="shared" si="31"/>
        <v>7851</v>
      </c>
      <c r="AC69" s="41">
        <f t="shared" si="32"/>
        <v>-7828.5</v>
      </c>
      <c r="AD69" s="42" t="e">
        <f>VLOOKUP(D69,#REF!,2,0)</f>
        <v>#REF!</v>
      </c>
      <c r="AE69" s="42" t="s">
        <v>13</v>
      </c>
      <c r="AF69" s="42">
        <v>8010.7</v>
      </c>
      <c r="AG69" s="43">
        <f t="shared" si="33"/>
        <v>159.69999999999982</v>
      </c>
      <c r="AI69" s="6" t="s">
        <v>137</v>
      </c>
      <c r="AJ69" s="42" t="b">
        <f t="shared" si="34"/>
        <v>0</v>
      </c>
      <c r="AK69" s="6">
        <v>261</v>
      </c>
      <c r="AL69" s="6"/>
      <c r="AM69" s="6"/>
      <c r="AO69" s="78">
        <v>3315285018</v>
      </c>
      <c r="AP69" s="42" t="b">
        <f t="shared" si="16"/>
        <v>0</v>
      </c>
      <c r="AR69" s="201">
        <f t="shared" si="17"/>
        <v>8</v>
      </c>
      <c r="AS69" s="201">
        <f t="shared" si="18"/>
        <v>3</v>
      </c>
      <c r="AT69" s="42">
        <v>5</v>
      </c>
    </row>
    <row r="70" spans="1:46" s="46" customFormat="1">
      <c r="A70" s="35">
        <v>60</v>
      </c>
      <c r="B70" s="88">
        <v>101960331774</v>
      </c>
      <c r="C70" s="90">
        <v>3315285018</v>
      </c>
      <c r="D70" s="71" t="s">
        <v>205</v>
      </c>
      <c r="E70" s="6">
        <v>27</v>
      </c>
      <c r="F70" s="36">
        <v>636</v>
      </c>
      <c r="G70" s="86">
        <v>10</v>
      </c>
      <c r="H70" s="9">
        <v>5</v>
      </c>
      <c r="I70" s="37">
        <f t="shared" si="20"/>
        <v>15</v>
      </c>
      <c r="J70" s="38">
        <f t="shared" si="21"/>
        <v>6360</v>
      </c>
      <c r="K70" s="38">
        <f t="shared" si="22"/>
        <v>3180</v>
      </c>
      <c r="L70" s="38">
        <f t="shared" si="9"/>
        <v>9540</v>
      </c>
      <c r="M70" s="38">
        <f t="shared" si="23"/>
        <v>5500</v>
      </c>
      <c r="N70" s="39">
        <f t="shared" si="24"/>
        <v>275</v>
      </c>
      <c r="O70" s="38">
        <f t="shared" si="25"/>
        <v>3765</v>
      </c>
      <c r="P70" s="38">
        <f t="shared" si="26"/>
        <v>9540</v>
      </c>
      <c r="Q70" s="39">
        <f t="shared" si="27"/>
        <v>660</v>
      </c>
      <c r="R70" s="39">
        <f t="shared" si="13"/>
        <v>175</v>
      </c>
      <c r="S70" s="39">
        <f t="shared" si="28"/>
        <v>72</v>
      </c>
      <c r="T70" s="39"/>
      <c r="U70" s="6"/>
      <c r="V70" s="4"/>
      <c r="W70" s="7"/>
      <c r="X70" s="2"/>
      <c r="Y70" s="39">
        <f t="shared" si="29"/>
        <v>907</v>
      </c>
      <c r="Z70" s="40">
        <f t="shared" si="30"/>
        <v>8633</v>
      </c>
      <c r="AA70" s="10">
        <v>500</v>
      </c>
      <c r="AB70" s="40">
        <f t="shared" si="31"/>
        <v>8133</v>
      </c>
      <c r="AC70" s="41">
        <f t="shared" si="32"/>
        <v>-8106</v>
      </c>
      <c r="AD70" s="42" t="e">
        <f>VLOOKUP(D70,#REF!,2,0)</f>
        <v>#REF!</v>
      </c>
      <c r="AE70" s="42" t="s">
        <v>7</v>
      </c>
      <c r="AF70" s="42">
        <v>9816.75</v>
      </c>
      <c r="AG70" s="43">
        <f t="shared" si="33"/>
        <v>1683.75</v>
      </c>
      <c r="AI70" s="6" t="s">
        <v>136</v>
      </c>
      <c r="AJ70" s="42" t="b">
        <f t="shared" si="34"/>
        <v>0</v>
      </c>
      <c r="AK70" s="6">
        <v>145</v>
      </c>
      <c r="AL70" s="6"/>
      <c r="AM70" s="6"/>
      <c r="AO70" s="72">
        <v>3316906032</v>
      </c>
      <c r="AP70" s="42" t="b">
        <f t="shared" si="16"/>
        <v>0</v>
      </c>
      <c r="AR70" s="201">
        <f t="shared" si="17"/>
        <v>12</v>
      </c>
      <c r="AS70" s="201">
        <f t="shared" si="18"/>
        <v>7</v>
      </c>
      <c r="AT70" s="42">
        <v>5</v>
      </c>
    </row>
    <row r="71" spans="1:46" s="46" customFormat="1">
      <c r="A71" s="35">
        <v>61</v>
      </c>
      <c r="B71" s="88">
        <v>101540070377</v>
      </c>
      <c r="C71" s="90">
        <v>3311838965</v>
      </c>
      <c r="D71" s="71" t="s">
        <v>222</v>
      </c>
      <c r="E71" s="6">
        <v>30.5</v>
      </c>
      <c r="F71" s="36">
        <v>636</v>
      </c>
      <c r="G71" s="85">
        <v>16.5</v>
      </c>
      <c r="H71" s="9">
        <v>5</v>
      </c>
      <c r="I71" s="37">
        <f t="shared" si="20"/>
        <v>21.5</v>
      </c>
      <c r="J71" s="38">
        <f t="shared" si="21"/>
        <v>10494</v>
      </c>
      <c r="K71" s="38">
        <f t="shared" si="22"/>
        <v>3180</v>
      </c>
      <c r="L71" s="38">
        <f t="shared" si="9"/>
        <v>13674</v>
      </c>
      <c r="M71" s="38">
        <f t="shared" si="23"/>
        <v>9075</v>
      </c>
      <c r="N71" s="39">
        <f t="shared" si="24"/>
        <v>454</v>
      </c>
      <c r="O71" s="38">
        <f t="shared" si="25"/>
        <v>4145</v>
      </c>
      <c r="P71" s="38">
        <f t="shared" si="26"/>
        <v>13674</v>
      </c>
      <c r="Q71" s="39">
        <f t="shared" si="27"/>
        <v>1089</v>
      </c>
      <c r="R71" s="39">
        <f t="shared" si="13"/>
        <v>200</v>
      </c>
      <c r="S71" s="39">
        <f t="shared" si="28"/>
        <v>103</v>
      </c>
      <c r="T71" s="39"/>
      <c r="U71" s="6"/>
      <c r="V71" s="4"/>
      <c r="W71" s="7"/>
      <c r="X71" s="2"/>
      <c r="Y71" s="39">
        <f t="shared" si="29"/>
        <v>1392</v>
      </c>
      <c r="Z71" s="40">
        <f t="shared" si="30"/>
        <v>12282</v>
      </c>
      <c r="AA71" s="10">
        <v>500</v>
      </c>
      <c r="AB71" s="40">
        <f t="shared" si="31"/>
        <v>11782</v>
      </c>
      <c r="AC71" s="41">
        <f t="shared" si="32"/>
        <v>-11751.5</v>
      </c>
      <c r="AD71" s="42" t="e">
        <f>VLOOKUP(D71,#REF!,2,0)</f>
        <v>#REF!</v>
      </c>
      <c r="AE71" s="42"/>
      <c r="AF71" s="42">
        <v>13276.1</v>
      </c>
      <c r="AG71" s="43">
        <f t="shared" si="33"/>
        <v>1494.1000000000004</v>
      </c>
      <c r="AI71" s="6" t="s">
        <v>113</v>
      </c>
      <c r="AJ71" s="42" t="b">
        <f t="shared" si="34"/>
        <v>0</v>
      </c>
      <c r="AK71" s="6"/>
      <c r="AL71" s="6"/>
      <c r="AM71" s="6"/>
      <c r="AO71" s="72">
        <v>3316550718</v>
      </c>
      <c r="AP71" s="42" t="b">
        <f t="shared" si="16"/>
        <v>0</v>
      </c>
      <c r="AR71" s="201">
        <f t="shared" si="17"/>
        <v>9</v>
      </c>
      <c r="AS71" s="201">
        <f t="shared" si="18"/>
        <v>4</v>
      </c>
      <c r="AT71" s="42">
        <v>5</v>
      </c>
    </row>
    <row r="72" spans="1:46" s="46" customFormat="1">
      <c r="A72" s="35">
        <v>62</v>
      </c>
      <c r="B72" s="88">
        <v>101475170616</v>
      </c>
      <c r="C72" s="90">
        <v>3310906192</v>
      </c>
      <c r="D72" s="71" t="s">
        <v>230</v>
      </c>
      <c r="E72" s="6">
        <v>20.5</v>
      </c>
      <c r="F72" s="36">
        <v>636</v>
      </c>
      <c r="G72" s="85">
        <v>4.5</v>
      </c>
      <c r="H72" s="9">
        <v>5</v>
      </c>
      <c r="I72" s="37">
        <f t="shared" si="20"/>
        <v>9.5</v>
      </c>
      <c r="J72" s="38">
        <f t="shared" si="21"/>
        <v>2862</v>
      </c>
      <c r="K72" s="38">
        <f t="shared" si="22"/>
        <v>3180</v>
      </c>
      <c r="L72" s="38">
        <f t="shared" si="9"/>
        <v>6042</v>
      </c>
      <c r="M72" s="38">
        <f t="shared" si="23"/>
        <v>2475</v>
      </c>
      <c r="N72" s="39">
        <f t="shared" si="24"/>
        <v>124</v>
      </c>
      <c r="O72" s="38">
        <f t="shared" si="25"/>
        <v>3443</v>
      </c>
      <c r="P72" s="38">
        <f t="shared" si="26"/>
        <v>6042</v>
      </c>
      <c r="Q72" s="39">
        <f t="shared" si="27"/>
        <v>297</v>
      </c>
      <c r="R72" s="39">
        <f t="shared" si="13"/>
        <v>0</v>
      </c>
      <c r="S72" s="39">
        <f t="shared" si="28"/>
        <v>45</v>
      </c>
      <c r="T72" s="39"/>
      <c r="U72" s="6"/>
      <c r="V72" s="4"/>
      <c r="W72" s="7"/>
      <c r="X72" s="2"/>
      <c r="Y72" s="39">
        <f t="shared" si="29"/>
        <v>342</v>
      </c>
      <c r="Z72" s="40">
        <f t="shared" si="30"/>
        <v>5700</v>
      </c>
      <c r="AA72" s="10">
        <v>500</v>
      </c>
      <c r="AB72" s="40">
        <f t="shared" si="31"/>
        <v>5200</v>
      </c>
      <c r="AC72" s="41">
        <f t="shared" si="32"/>
        <v>-5179.5</v>
      </c>
      <c r="AD72" s="42" t="e">
        <f>VLOOKUP(D72,#REF!,2,0)</f>
        <v>#REF!</v>
      </c>
      <c r="AE72" s="42"/>
      <c r="AF72" s="42">
        <v>6160.8</v>
      </c>
      <c r="AG72" s="43">
        <f t="shared" si="33"/>
        <v>960.80000000000018</v>
      </c>
      <c r="AI72" s="6" t="s">
        <v>26</v>
      </c>
      <c r="AJ72" s="42" t="b">
        <f t="shared" si="34"/>
        <v>0</v>
      </c>
      <c r="AK72" s="6">
        <v>16</v>
      </c>
      <c r="AL72" s="6">
        <v>33.6</v>
      </c>
      <c r="AM72" s="6"/>
      <c r="AO72" s="72">
        <v>3311838965</v>
      </c>
      <c r="AP72" s="42" t="b">
        <f t="shared" si="16"/>
        <v>0</v>
      </c>
      <c r="AR72" s="201">
        <f t="shared" si="17"/>
        <v>11</v>
      </c>
      <c r="AS72" s="201">
        <f t="shared" si="18"/>
        <v>6</v>
      </c>
      <c r="AT72" s="42">
        <v>5</v>
      </c>
    </row>
    <row r="73" spans="1:46" s="46" customFormat="1">
      <c r="A73" s="35">
        <v>63</v>
      </c>
      <c r="B73" s="79">
        <v>101396804599</v>
      </c>
      <c r="C73" s="90">
        <v>3315708668</v>
      </c>
      <c r="D73" s="71" t="s">
        <v>196</v>
      </c>
      <c r="E73" s="6">
        <v>28</v>
      </c>
      <c r="F73" s="36">
        <v>636</v>
      </c>
      <c r="G73" s="85">
        <v>10</v>
      </c>
      <c r="H73" s="9">
        <v>5</v>
      </c>
      <c r="I73" s="37">
        <f t="shared" si="20"/>
        <v>15</v>
      </c>
      <c r="J73" s="38">
        <f t="shared" si="21"/>
        <v>6360</v>
      </c>
      <c r="K73" s="38">
        <f t="shared" si="22"/>
        <v>3180</v>
      </c>
      <c r="L73" s="38">
        <f t="shared" si="9"/>
        <v>9540</v>
      </c>
      <c r="M73" s="38">
        <f t="shared" si="23"/>
        <v>5500</v>
      </c>
      <c r="N73" s="39">
        <f t="shared" si="24"/>
        <v>275</v>
      </c>
      <c r="O73" s="38">
        <f t="shared" si="25"/>
        <v>3765</v>
      </c>
      <c r="P73" s="38">
        <f t="shared" si="26"/>
        <v>9540</v>
      </c>
      <c r="Q73" s="39">
        <f t="shared" si="27"/>
        <v>660</v>
      </c>
      <c r="R73" s="39">
        <f t="shared" si="13"/>
        <v>175</v>
      </c>
      <c r="S73" s="39">
        <f t="shared" si="28"/>
        <v>72</v>
      </c>
      <c r="T73" s="39"/>
      <c r="U73" s="6"/>
      <c r="V73" s="4"/>
      <c r="W73" s="7"/>
      <c r="X73" s="2"/>
      <c r="Y73" s="39">
        <f t="shared" si="29"/>
        <v>907</v>
      </c>
      <c r="Z73" s="40">
        <f t="shared" si="30"/>
        <v>8633</v>
      </c>
      <c r="AA73" s="10">
        <v>500</v>
      </c>
      <c r="AB73" s="40">
        <f t="shared" si="31"/>
        <v>8133</v>
      </c>
      <c r="AC73" s="41">
        <f t="shared" si="32"/>
        <v>-8105</v>
      </c>
      <c r="AD73" s="42" t="e">
        <f>VLOOKUP(D73,#REF!,2,0)</f>
        <v>#REF!</v>
      </c>
      <c r="AE73" s="42" t="s">
        <v>4</v>
      </c>
      <c r="AF73" s="42">
        <v>9055.4</v>
      </c>
      <c r="AG73" s="43">
        <f t="shared" si="33"/>
        <v>922.39999999999964</v>
      </c>
      <c r="AI73" s="6" t="s">
        <v>130</v>
      </c>
      <c r="AJ73" s="42" t="b">
        <f t="shared" si="34"/>
        <v>0</v>
      </c>
      <c r="AK73" s="6">
        <v>172</v>
      </c>
      <c r="AL73" s="6"/>
      <c r="AM73" s="6"/>
      <c r="AO73" s="77">
        <v>3310906192</v>
      </c>
      <c r="AP73" s="42" t="b">
        <f t="shared" si="16"/>
        <v>0</v>
      </c>
      <c r="AR73" s="201">
        <f t="shared" si="17"/>
        <v>13</v>
      </c>
      <c r="AS73" s="201">
        <f t="shared" si="18"/>
        <v>8</v>
      </c>
      <c r="AT73" s="42">
        <v>5</v>
      </c>
    </row>
    <row r="74" spans="1:46" s="46" customFormat="1">
      <c r="A74" s="35">
        <v>64</v>
      </c>
      <c r="B74" s="88">
        <v>101817173110</v>
      </c>
      <c r="C74" s="90">
        <v>3315929520</v>
      </c>
      <c r="D74" s="71" t="s">
        <v>193</v>
      </c>
      <c r="E74" s="6">
        <v>28</v>
      </c>
      <c r="F74" s="36">
        <v>636</v>
      </c>
      <c r="G74" s="85">
        <v>10</v>
      </c>
      <c r="H74" s="9">
        <v>5</v>
      </c>
      <c r="I74" s="37">
        <f t="shared" ref="I74:I103" si="35">+G74+H74</f>
        <v>15</v>
      </c>
      <c r="J74" s="38">
        <f t="shared" ref="J74:J103" si="36">ROUND(G74*F74,0)</f>
        <v>6360</v>
      </c>
      <c r="K74" s="38">
        <f t="shared" ref="K74:K103" si="37">ROUND(F74*H74,0)</f>
        <v>3180</v>
      </c>
      <c r="L74" s="38">
        <f t="shared" si="9"/>
        <v>9540</v>
      </c>
      <c r="M74" s="38">
        <f t="shared" ref="M74:M103" si="38">ROUND($M$4*G74,0)</f>
        <v>5500</v>
      </c>
      <c r="N74" s="39">
        <f t="shared" ref="N74:N123" si="39">ROUND($M74*5%,0)</f>
        <v>275</v>
      </c>
      <c r="O74" s="38">
        <f t="shared" ref="O74:O103" si="40">L74-M74-N74</f>
        <v>3765</v>
      </c>
      <c r="P74" s="38">
        <f t="shared" ref="P74:P103" si="41">O74+N74+M74</f>
        <v>9540</v>
      </c>
      <c r="Q74" s="39">
        <f t="shared" ref="Q74:Q103" si="42">ROUND(M74*12%,0)</f>
        <v>660</v>
      </c>
      <c r="R74" s="39">
        <f t="shared" si="13"/>
        <v>175</v>
      </c>
      <c r="S74" s="39">
        <f t="shared" ref="S74:S103" si="43">ROUND(P74*0.75%,0)</f>
        <v>72</v>
      </c>
      <c r="T74" s="39"/>
      <c r="U74" s="6"/>
      <c r="V74" s="4"/>
      <c r="W74" s="7"/>
      <c r="X74" s="2"/>
      <c r="Y74" s="39">
        <f t="shared" ref="Y74:Y103" si="44">SUM(Q74:X74)</f>
        <v>907</v>
      </c>
      <c r="Z74" s="40">
        <f t="shared" ref="Z74:Z103" si="45">P74-Y74</f>
        <v>8633</v>
      </c>
      <c r="AA74" s="10">
        <v>500</v>
      </c>
      <c r="AB74" s="40">
        <f t="shared" ref="AB74:AB103" si="46">Z74-AA74</f>
        <v>8133</v>
      </c>
      <c r="AC74" s="41">
        <f t="shared" ref="AC74:AC96" si="47">E74-AB74</f>
        <v>-8105</v>
      </c>
      <c r="AD74" s="42" t="e">
        <f>VLOOKUP(D74,#REF!,2,0)</f>
        <v>#REF!</v>
      </c>
      <c r="AE74" s="27" t="s">
        <v>10</v>
      </c>
      <c r="AF74" s="27">
        <v>11166.1</v>
      </c>
      <c r="AG74" s="43">
        <f t="shared" ref="AG74:AG92" si="48">AF74-AB74</f>
        <v>3033.1000000000004</v>
      </c>
      <c r="AI74" s="6" t="s">
        <v>124</v>
      </c>
      <c r="AJ74" s="42" t="b">
        <f t="shared" si="34"/>
        <v>0</v>
      </c>
      <c r="AK74" s="6">
        <v>234</v>
      </c>
      <c r="AL74" s="6">
        <v>8</v>
      </c>
      <c r="AM74" s="6">
        <v>5000</v>
      </c>
      <c r="AO74" s="77">
        <v>3316313423</v>
      </c>
      <c r="AP74" s="42" t="b">
        <f t="shared" si="16"/>
        <v>0</v>
      </c>
      <c r="AR74" s="201">
        <f t="shared" si="17"/>
        <v>13</v>
      </c>
      <c r="AS74" s="201">
        <f t="shared" si="18"/>
        <v>8</v>
      </c>
      <c r="AT74" s="42">
        <v>5</v>
      </c>
    </row>
    <row r="75" spans="1:46" s="142" customFormat="1">
      <c r="A75" s="129">
        <v>65</v>
      </c>
      <c r="B75" s="130">
        <v>101909060608</v>
      </c>
      <c r="C75" s="131">
        <v>3314771015</v>
      </c>
      <c r="D75" s="71" t="s">
        <v>206</v>
      </c>
      <c r="E75" s="132">
        <v>20.5</v>
      </c>
      <c r="F75" s="133">
        <v>636</v>
      </c>
      <c r="G75" s="85">
        <v>5.5</v>
      </c>
      <c r="H75" s="9">
        <v>5</v>
      </c>
      <c r="I75" s="134">
        <f t="shared" si="35"/>
        <v>10.5</v>
      </c>
      <c r="J75" s="135">
        <f t="shared" si="36"/>
        <v>3498</v>
      </c>
      <c r="K75" s="135">
        <f t="shared" si="37"/>
        <v>3180</v>
      </c>
      <c r="L75" s="135">
        <f t="shared" si="9"/>
        <v>6678</v>
      </c>
      <c r="M75" s="135">
        <f t="shared" si="38"/>
        <v>3025</v>
      </c>
      <c r="N75" s="136">
        <f t="shared" si="39"/>
        <v>151</v>
      </c>
      <c r="O75" s="135">
        <f t="shared" si="40"/>
        <v>3502</v>
      </c>
      <c r="P75" s="135">
        <f t="shared" si="41"/>
        <v>6678</v>
      </c>
      <c r="Q75" s="136">
        <f t="shared" si="42"/>
        <v>363</v>
      </c>
      <c r="R75" s="39">
        <f t="shared" si="13"/>
        <v>0</v>
      </c>
      <c r="S75" s="136">
        <f t="shared" si="43"/>
        <v>50</v>
      </c>
      <c r="T75" s="136"/>
      <c r="U75" s="132"/>
      <c r="V75" s="137"/>
      <c r="W75" s="138"/>
      <c r="X75" s="139"/>
      <c r="Y75" s="136">
        <f t="shared" si="44"/>
        <v>413</v>
      </c>
      <c r="Z75" s="140">
        <f t="shared" si="45"/>
        <v>6265</v>
      </c>
      <c r="AA75" s="141">
        <v>500</v>
      </c>
      <c r="AB75" s="140">
        <f t="shared" si="46"/>
        <v>5765</v>
      </c>
      <c r="AC75" s="41">
        <f t="shared" si="47"/>
        <v>-5744.5</v>
      </c>
      <c r="AD75" s="42" t="e">
        <f>VLOOKUP(D75,#REF!,2,0)</f>
        <v>#REF!</v>
      </c>
      <c r="AE75" s="42" t="s">
        <v>25</v>
      </c>
      <c r="AF75" s="42">
        <v>3959.7</v>
      </c>
      <c r="AG75" s="43">
        <f t="shared" si="48"/>
        <v>-1805.3000000000002</v>
      </c>
      <c r="AI75" s="143" t="s">
        <v>154</v>
      </c>
      <c r="AJ75" s="142" t="b">
        <f t="shared" si="34"/>
        <v>0</v>
      </c>
      <c r="AK75" s="132">
        <v>294</v>
      </c>
      <c r="AL75" s="132">
        <v>84</v>
      </c>
      <c r="AM75" s="132"/>
      <c r="AO75" s="144">
        <v>3316711072</v>
      </c>
      <c r="AP75" s="142" t="b">
        <f t="shared" si="16"/>
        <v>0</v>
      </c>
      <c r="AR75" s="201">
        <f t="shared" si="17"/>
        <v>10</v>
      </c>
      <c r="AS75" s="201">
        <f t="shared" si="18"/>
        <v>5</v>
      </c>
      <c r="AT75" s="42">
        <v>5</v>
      </c>
    </row>
    <row r="76" spans="1:46" s="46" customFormat="1">
      <c r="A76" s="35">
        <v>66</v>
      </c>
      <c r="B76" s="88">
        <v>102086487131</v>
      </c>
      <c r="C76" s="90">
        <v>3316548526</v>
      </c>
      <c r="D76" s="71" t="s">
        <v>179</v>
      </c>
      <c r="E76" s="6">
        <v>26</v>
      </c>
      <c r="F76" s="36">
        <v>636</v>
      </c>
      <c r="G76" s="85">
        <v>10</v>
      </c>
      <c r="H76" s="9">
        <v>5</v>
      </c>
      <c r="I76" s="37">
        <f t="shared" si="35"/>
        <v>15</v>
      </c>
      <c r="J76" s="38">
        <f t="shared" si="36"/>
        <v>6360</v>
      </c>
      <c r="K76" s="38">
        <f t="shared" si="37"/>
        <v>3180</v>
      </c>
      <c r="L76" s="38">
        <f t="shared" ref="L76:L113" si="49">J76+K76</f>
        <v>9540</v>
      </c>
      <c r="M76" s="38">
        <f t="shared" si="38"/>
        <v>5500</v>
      </c>
      <c r="N76" s="39">
        <f t="shared" si="39"/>
        <v>275</v>
      </c>
      <c r="O76" s="38">
        <f t="shared" si="40"/>
        <v>3765</v>
      </c>
      <c r="P76" s="38">
        <f t="shared" si="41"/>
        <v>9540</v>
      </c>
      <c r="Q76" s="39">
        <f t="shared" si="42"/>
        <v>660</v>
      </c>
      <c r="R76" s="39">
        <f t="shared" si="13"/>
        <v>175</v>
      </c>
      <c r="S76" s="39">
        <f t="shared" si="43"/>
        <v>72</v>
      </c>
      <c r="T76" s="39"/>
      <c r="U76" s="6"/>
      <c r="V76" s="4"/>
      <c r="W76" s="7"/>
      <c r="X76" s="2"/>
      <c r="Y76" s="39">
        <f t="shared" si="44"/>
        <v>907</v>
      </c>
      <c r="Z76" s="40">
        <f t="shared" si="45"/>
        <v>8633</v>
      </c>
      <c r="AA76" s="10"/>
      <c r="AB76" s="40">
        <f t="shared" si="46"/>
        <v>8633</v>
      </c>
      <c r="AC76" s="41">
        <f t="shared" si="47"/>
        <v>-8607</v>
      </c>
      <c r="AD76" s="42" t="e">
        <f>VLOOKUP(D76,#REF!,2,0)</f>
        <v>#REF!</v>
      </c>
      <c r="AE76" s="42"/>
      <c r="AF76" s="42">
        <v>14356.75</v>
      </c>
      <c r="AG76" s="43">
        <f t="shared" si="48"/>
        <v>5723.75</v>
      </c>
      <c r="AI76" s="6" t="s">
        <v>115</v>
      </c>
      <c r="AJ76" s="42" t="b">
        <f t="shared" si="34"/>
        <v>0</v>
      </c>
      <c r="AK76" s="6">
        <v>8</v>
      </c>
      <c r="AL76" s="6"/>
      <c r="AM76" s="6">
        <v>4000</v>
      </c>
      <c r="AO76" s="73">
        <v>3315708668</v>
      </c>
      <c r="AP76" s="42" t="b">
        <f t="shared" ref="AP76:AP96" si="50">AO76=C76</f>
        <v>0</v>
      </c>
      <c r="AR76" s="201">
        <f t="shared" si="17"/>
        <v>11</v>
      </c>
      <c r="AS76" s="201">
        <f t="shared" si="18"/>
        <v>6</v>
      </c>
      <c r="AT76" s="42">
        <v>5</v>
      </c>
    </row>
    <row r="77" spans="1:46" s="46" customFormat="1">
      <c r="A77" s="35">
        <v>67</v>
      </c>
      <c r="B77" s="88">
        <v>102125816854</v>
      </c>
      <c r="C77" s="90">
        <v>3316906128</v>
      </c>
      <c r="D77" s="71" t="s">
        <v>174</v>
      </c>
      <c r="E77" s="6">
        <v>16</v>
      </c>
      <c r="F77" s="36">
        <v>636</v>
      </c>
      <c r="G77" s="85">
        <v>0</v>
      </c>
      <c r="H77" s="9">
        <v>5</v>
      </c>
      <c r="I77" s="37">
        <f t="shared" si="35"/>
        <v>5</v>
      </c>
      <c r="J77" s="38">
        <f t="shared" si="36"/>
        <v>0</v>
      </c>
      <c r="K77" s="38">
        <f t="shared" si="37"/>
        <v>3180</v>
      </c>
      <c r="L77" s="38">
        <f t="shared" si="49"/>
        <v>3180</v>
      </c>
      <c r="M77" s="38">
        <f t="shared" si="38"/>
        <v>0</v>
      </c>
      <c r="N77" s="39">
        <f t="shared" si="39"/>
        <v>0</v>
      </c>
      <c r="O77" s="38">
        <f t="shared" si="40"/>
        <v>3180</v>
      </c>
      <c r="P77" s="38">
        <f t="shared" si="41"/>
        <v>3180</v>
      </c>
      <c r="Q77" s="39">
        <f t="shared" si="42"/>
        <v>0</v>
      </c>
      <c r="R77" s="39">
        <f t="shared" ref="R77:R123" si="51">IF(P77&lt;=7500,0,IF(P77&lt;=10000,175,200))</f>
        <v>0</v>
      </c>
      <c r="S77" s="39">
        <f t="shared" si="43"/>
        <v>24</v>
      </c>
      <c r="T77" s="39"/>
      <c r="U77" s="6"/>
      <c r="V77" s="4"/>
      <c r="W77" s="7"/>
      <c r="X77" s="2"/>
      <c r="Y77" s="39">
        <f t="shared" si="44"/>
        <v>24</v>
      </c>
      <c r="Z77" s="40">
        <f t="shared" si="45"/>
        <v>3156</v>
      </c>
      <c r="AA77" s="10">
        <v>500</v>
      </c>
      <c r="AB77" s="40">
        <f t="shared" si="46"/>
        <v>2656</v>
      </c>
      <c r="AC77" s="41">
        <f t="shared" si="47"/>
        <v>-2640</v>
      </c>
      <c r="AD77" s="42" t="e">
        <f>VLOOKUP(D77,#REF!,2,0)</f>
        <v>#REF!</v>
      </c>
      <c r="AE77" s="27" t="s">
        <v>28</v>
      </c>
      <c r="AF77" s="27">
        <v>11975.7</v>
      </c>
      <c r="AG77" s="43">
        <f t="shared" si="48"/>
        <v>9319.7000000000007</v>
      </c>
      <c r="AI77" s="6" t="s">
        <v>38</v>
      </c>
      <c r="AJ77" s="42" t="b">
        <f t="shared" si="34"/>
        <v>0</v>
      </c>
      <c r="AK77" s="6">
        <v>447</v>
      </c>
      <c r="AL77" s="6"/>
      <c r="AM77" s="6"/>
      <c r="AO77" s="73">
        <v>3315199534</v>
      </c>
      <c r="AP77" s="42" t="b">
        <f t="shared" si="50"/>
        <v>0</v>
      </c>
      <c r="AR77" s="201">
        <f t="shared" ref="AR77:AR123" si="52">E77-I77</f>
        <v>11</v>
      </c>
      <c r="AS77" s="201">
        <f t="shared" ref="AS77:AS123" si="53">AR77-5</f>
        <v>6</v>
      </c>
      <c r="AT77" s="42">
        <v>5</v>
      </c>
    </row>
    <row r="78" spans="1:46" s="46" customFormat="1">
      <c r="A78" s="35">
        <v>68</v>
      </c>
      <c r="B78" s="88">
        <v>101944505682</v>
      </c>
      <c r="C78" s="90">
        <v>3315530821</v>
      </c>
      <c r="D78" s="71" t="s">
        <v>199</v>
      </c>
      <c r="E78" s="6">
        <v>23.5</v>
      </c>
      <c r="F78" s="36">
        <v>636</v>
      </c>
      <c r="G78" s="85">
        <v>7.5</v>
      </c>
      <c r="H78" s="9">
        <v>5</v>
      </c>
      <c r="I78" s="37">
        <f t="shared" si="35"/>
        <v>12.5</v>
      </c>
      <c r="J78" s="38">
        <f t="shared" si="36"/>
        <v>4770</v>
      </c>
      <c r="K78" s="38">
        <f t="shared" si="37"/>
        <v>3180</v>
      </c>
      <c r="L78" s="38">
        <f t="shared" si="49"/>
        <v>7950</v>
      </c>
      <c r="M78" s="38">
        <f t="shared" si="38"/>
        <v>4125</v>
      </c>
      <c r="N78" s="39">
        <f t="shared" si="39"/>
        <v>206</v>
      </c>
      <c r="O78" s="38">
        <f t="shared" si="40"/>
        <v>3619</v>
      </c>
      <c r="P78" s="38">
        <f t="shared" si="41"/>
        <v>7950</v>
      </c>
      <c r="Q78" s="39">
        <f t="shared" si="42"/>
        <v>495</v>
      </c>
      <c r="R78" s="39">
        <f t="shared" si="51"/>
        <v>175</v>
      </c>
      <c r="S78" s="39">
        <f t="shared" si="43"/>
        <v>60</v>
      </c>
      <c r="T78" s="39"/>
      <c r="U78" s="6"/>
      <c r="V78" s="4"/>
      <c r="W78" s="7"/>
      <c r="X78" s="2"/>
      <c r="Y78" s="39">
        <f t="shared" si="44"/>
        <v>730</v>
      </c>
      <c r="Z78" s="40">
        <f t="shared" si="45"/>
        <v>7220</v>
      </c>
      <c r="AA78" s="10">
        <v>500</v>
      </c>
      <c r="AB78" s="40">
        <f t="shared" si="46"/>
        <v>6720</v>
      </c>
      <c r="AC78" s="41">
        <f t="shared" si="47"/>
        <v>-6696.5</v>
      </c>
      <c r="AD78" s="42" t="e">
        <f>VLOOKUP(D78,#REF!,2,0)</f>
        <v>#REF!</v>
      </c>
      <c r="AE78" s="27"/>
      <c r="AF78" s="27">
        <v>13331.05</v>
      </c>
      <c r="AG78" s="43">
        <f t="shared" si="48"/>
        <v>6611.0499999999993</v>
      </c>
      <c r="AI78" s="6" t="s">
        <v>110</v>
      </c>
      <c r="AJ78" s="42" t="b">
        <f t="shared" si="34"/>
        <v>0</v>
      </c>
      <c r="AK78" s="6">
        <v>275</v>
      </c>
      <c r="AL78" s="6">
        <v>75</v>
      </c>
      <c r="AM78" s="6"/>
      <c r="AO78" s="73">
        <v>3315929520</v>
      </c>
      <c r="AP78" s="42" t="b">
        <f t="shared" si="50"/>
        <v>0</v>
      </c>
      <c r="AR78" s="201">
        <f t="shared" si="52"/>
        <v>11</v>
      </c>
      <c r="AS78" s="201">
        <f t="shared" si="53"/>
        <v>6</v>
      </c>
      <c r="AT78" s="42">
        <v>5</v>
      </c>
    </row>
    <row r="79" spans="1:46" s="46" customFormat="1">
      <c r="A79" s="35">
        <v>69</v>
      </c>
      <c r="B79" s="88">
        <v>101424675655</v>
      </c>
      <c r="C79" s="90">
        <v>3311838973</v>
      </c>
      <c r="D79" s="71" t="s">
        <v>223</v>
      </c>
      <c r="E79" s="6">
        <v>24</v>
      </c>
      <c r="F79" s="36">
        <v>636</v>
      </c>
      <c r="G79" s="85">
        <v>7</v>
      </c>
      <c r="H79" s="9">
        <v>5</v>
      </c>
      <c r="I79" s="37">
        <f t="shared" si="35"/>
        <v>12</v>
      </c>
      <c r="J79" s="38">
        <f t="shared" si="36"/>
        <v>4452</v>
      </c>
      <c r="K79" s="38">
        <f t="shared" si="37"/>
        <v>3180</v>
      </c>
      <c r="L79" s="38">
        <f t="shared" si="49"/>
        <v>7632</v>
      </c>
      <c r="M79" s="38">
        <f t="shared" si="38"/>
        <v>3850</v>
      </c>
      <c r="N79" s="39">
        <f t="shared" si="39"/>
        <v>193</v>
      </c>
      <c r="O79" s="38">
        <f t="shared" si="40"/>
        <v>3589</v>
      </c>
      <c r="P79" s="38">
        <f t="shared" si="41"/>
        <v>7632</v>
      </c>
      <c r="Q79" s="39">
        <f t="shared" si="42"/>
        <v>462</v>
      </c>
      <c r="R79" s="39">
        <f t="shared" si="51"/>
        <v>175</v>
      </c>
      <c r="S79" s="39">
        <f t="shared" si="43"/>
        <v>57</v>
      </c>
      <c r="T79" s="39"/>
      <c r="U79" s="6"/>
      <c r="V79" s="4"/>
      <c r="W79" s="7"/>
      <c r="X79" s="3"/>
      <c r="Y79" s="39">
        <f t="shared" si="44"/>
        <v>694</v>
      </c>
      <c r="Z79" s="40">
        <f t="shared" si="45"/>
        <v>6938</v>
      </c>
      <c r="AA79" s="10">
        <v>500</v>
      </c>
      <c r="AB79" s="40">
        <f t="shared" si="46"/>
        <v>6438</v>
      </c>
      <c r="AC79" s="41">
        <f t="shared" si="47"/>
        <v>-6414</v>
      </c>
      <c r="AD79" s="42" t="e">
        <f>VLOOKUP(D79,#REF!,2,0)</f>
        <v>#REF!</v>
      </c>
      <c r="AE79" s="42" t="s">
        <v>8</v>
      </c>
      <c r="AF79" s="42">
        <v>7110.7</v>
      </c>
      <c r="AG79" s="43">
        <f t="shared" si="48"/>
        <v>672.69999999999982</v>
      </c>
      <c r="AI79" s="6" t="s">
        <v>151</v>
      </c>
      <c r="AJ79" s="42" t="b">
        <f t="shared" si="34"/>
        <v>0</v>
      </c>
      <c r="AK79" s="6"/>
      <c r="AL79" s="6"/>
      <c r="AM79" s="6"/>
      <c r="AO79" s="72">
        <v>3315746691</v>
      </c>
      <c r="AP79" s="42" t="b">
        <f t="shared" si="50"/>
        <v>0</v>
      </c>
      <c r="AR79" s="201">
        <f t="shared" si="52"/>
        <v>12</v>
      </c>
      <c r="AS79" s="201">
        <f t="shared" si="53"/>
        <v>7</v>
      </c>
      <c r="AT79" s="42">
        <v>5</v>
      </c>
    </row>
    <row r="80" spans="1:46" s="46" customFormat="1">
      <c r="A80" s="35">
        <v>70</v>
      </c>
      <c r="B80" s="88">
        <v>101235372414</v>
      </c>
      <c r="C80" s="90">
        <v>3315883972</v>
      </c>
      <c r="D80" s="71" t="s">
        <v>195</v>
      </c>
      <c r="E80" s="6">
        <v>12</v>
      </c>
      <c r="F80" s="36">
        <v>636</v>
      </c>
      <c r="G80" s="85">
        <v>2</v>
      </c>
      <c r="H80" s="9">
        <v>5</v>
      </c>
      <c r="I80" s="37">
        <f t="shared" si="35"/>
        <v>7</v>
      </c>
      <c r="J80" s="38">
        <f t="shared" si="36"/>
        <v>1272</v>
      </c>
      <c r="K80" s="38">
        <f t="shared" si="37"/>
        <v>3180</v>
      </c>
      <c r="L80" s="38">
        <f t="shared" si="49"/>
        <v>4452</v>
      </c>
      <c r="M80" s="38">
        <f t="shared" si="38"/>
        <v>1100</v>
      </c>
      <c r="N80" s="39">
        <f t="shared" si="39"/>
        <v>55</v>
      </c>
      <c r="O80" s="38">
        <f t="shared" si="40"/>
        <v>3297</v>
      </c>
      <c r="P80" s="38">
        <f t="shared" si="41"/>
        <v>4452</v>
      </c>
      <c r="Q80" s="39">
        <f t="shared" si="42"/>
        <v>132</v>
      </c>
      <c r="R80" s="39">
        <f t="shared" si="51"/>
        <v>0</v>
      </c>
      <c r="S80" s="39">
        <f t="shared" si="43"/>
        <v>33</v>
      </c>
      <c r="T80" s="39"/>
      <c r="U80" s="6"/>
      <c r="V80" s="4"/>
      <c r="W80" s="7"/>
      <c r="X80" s="2"/>
      <c r="Y80" s="39">
        <f t="shared" si="44"/>
        <v>165</v>
      </c>
      <c r="Z80" s="40">
        <f t="shared" si="45"/>
        <v>4287</v>
      </c>
      <c r="AA80" s="10">
        <v>500</v>
      </c>
      <c r="AB80" s="40">
        <f t="shared" si="46"/>
        <v>3787</v>
      </c>
      <c r="AC80" s="41">
        <f t="shared" si="47"/>
        <v>-3775</v>
      </c>
      <c r="AD80" s="42" t="e">
        <f>VLOOKUP(D80,#REF!,2,0)</f>
        <v>#REF!</v>
      </c>
      <c r="AE80" s="42" t="s">
        <v>14</v>
      </c>
      <c r="AF80" s="42">
        <v>7513.4</v>
      </c>
      <c r="AG80" s="43">
        <f t="shared" si="48"/>
        <v>3726.3999999999996</v>
      </c>
      <c r="AI80" s="6" t="s">
        <v>39</v>
      </c>
      <c r="AJ80" s="42" t="b">
        <f t="shared" si="34"/>
        <v>0</v>
      </c>
      <c r="AK80" s="6">
        <v>487</v>
      </c>
      <c r="AL80" s="6"/>
      <c r="AM80" s="6"/>
      <c r="AO80" s="76">
        <v>3315529289</v>
      </c>
      <c r="AP80" s="42" t="b">
        <f t="shared" si="50"/>
        <v>0</v>
      </c>
      <c r="AR80" s="201">
        <f t="shared" si="52"/>
        <v>5</v>
      </c>
      <c r="AS80" s="201">
        <f t="shared" si="53"/>
        <v>0</v>
      </c>
      <c r="AT80" s="42">
        <v>5</v>
      </c>
    </row>
    <row r="81" spans="1:46" s="46" customFormat="1">
      <c r="A81" s="35">
        <v>71</v>
      </c>
      <c r="B81" s="88">
        <v>101432431093</v>
      </c>
      <c r="C81" s="90">
        <v>3316592493</v>
      </c>
      <c r="D81" s="71" t="s">
        <v>177</v>
      </c>
      <c r="E81" s="6">
        <v>26</v>
      </c>
      <c r="F81" s="36">
        <v>636</v>
      </c>
      <c r="G81" s="85">
        <v>9</v>
      </c>
      <c r="H81" s="9">
        <v>5</v>
      </c>
      <c r="I81" s="37">
        <f t="shared" si="35"/>
        <v>14</v>
      </c>
      <c r="J81" s="38">
        <f t="shared" si="36"/>
        <v>5724</v>
      </c>
      <c r="K81" s="38">
        <f t="shared" si="37"/>
        <v>3180</v>
      </c>
      <c r="L81" s="38">
        <f t="shared" si="49"/>
        <v>8904</v>
      </c>
      <c r="M81" s="38">
        <f t="shared" si="38"/>
        <v>4950</v>
      </c>
      <c r="N81" s="39">
        <f t="shared" si="39"/>
        <v>248</v>
      </c>
      <c r="O81" s="38">
        <f t="shared" si="40"/>
        <v>3706</v>
      </c>
      <c r="P81" s="38">
        <f t="shared" si="41"/>
        <v>8904</v>
      </c>
      <c r="Q81" s="39">
        <f t="shared" si="42"/>
        <v>594</v>
      </c>
      <c r="R81" s="39">
        <f t="shared" si="51"/>
        <v>175</v>
      </c>
      <c r="S81" s="39">
        <f t="shared" si="43"/>
        <v>67</v>
      </c>
      <c r="T81" s="39"/>
      <c r="U81" s="6"/>
      <c r="V81" s="4"/>
      <c r="W81" s="7"/>
      <c r="X81" s="2"/>
      <c r="Y81" s="39">
        <f t="shared" si="44"/>
        <v>836</v>
      </c>
      <c r="Z81" s="40">
        <f t="shared" si="45"/>
        <v>8068</v>
      </c>
      <c r="AA81" s="10">
        <v>500</v>
      </c>
      <c r="AB81" s="40">
        <f t="shared" si="46"/>
        <v>7568</v>
      </c>
      <c r="AC81" s="41">
        <f t="shared" si="47"/>
        <v>-7542</v>
      </c>
      <c r="AD81" s="42" t="e">
        <f>VLOOKUP(D81,#REF!,2,0)</f>
        <v>#REF!</v>
      </c>
      <c r="AE81" s="42" t="s">
        <v>53</v>
      </c>
      <c r="AF81" s="42">
        <v>7887.4</v>
      </c>
      <c r="AG81" s="43">
        <f t="shared" si="48"/>
        <v>319.39999999999964</v>
      </c>
      <c r="AI81" s="6" t="s">
        <v>101</v>
      </c>
      <c r="AJ81" s="42" t="b">
        <f t="shared" si="34"/>
        <v>0</v>
      </c>
      <c r="AK81" s="6">
        <v>522</v>
      </c>
      <c r="AL81" s="6">
        <v>16.8</v>
      </c>
      <c r="AM81" s="6"/>
      <c r="AO81" s="76">
        <v>3315747749</v>
      </c>
      <c r="AP81" s="42" t="b">
        <f t="shared" si="50"/>
        <v>0</v>
      </c>
      <c r="AR81" s="201">
        <f t="shared" si="52"/>
        <v>12</v>
      </c>
      <c r="AS81" s="201">
        <f t="shared" si="53"/>
        <v>7</v>
      </c>
      <c r="AT81" s="42">
        <v>5</v>
      </c>
    </row>
    <row r="82" spans="1:46">
      <c r="A82" s="35">
        <v>72</v>
      </c>
      <c r="B82" s="88">
        <v>102219962850</v>
      </c>
      <c r="C82" s="90">
        <v>3317919359</v>
      </c>
      <c r="D82" s="71" t="s">
        <v>353</v>
      </c>
      <c r="E82" s="6">
        <v>25.5</v>
      </c>
      <c r="F82" s="36">
        <v>636</v>
      </c>
      <c r="G82" s="85">
        <v>10.5</v>
      </c>
      <c r="H82" s="9">
        <v>5</v>
      </c>
      <c r="I82" s="37">
        <f t="shared" si="35"/>
        <v>15.5</v>
      </c>
      <c r="J82" s="38">
        <f t="shared" si="36"/>
        <v>6678</v>
      </c>
      <c r="K82" s="38">
        <f t="shared" si="37"/>
        <v>3180</v>
      </c>
      <c r="L82" s="38">
        <f t="shared" si="49"/>
        <v>9858</v>
      </c>
      <c r="M82" s="38">
        <f t="shared" si="38"/>
        <v>5775</v>
      </c>
      <c r="N82" s="39">
        <f t="shared" si="39"/>
        <v>289</v>
      </c>
      <c r="O82" s="38">
        <f t="shared" si="40"/>
        <v>3794</v>
      </c>
      <c r="P82" s="38">
        <f t="shared" si="41"/>
        <v>9858</v>
      </c>
      <c r="Q82" s="39">
        <f t="shared" si="42"/>
        <v>693</v>
      </c>
      <c r="R82" s="39">
        <f t="shared" si="51"/>
        <v>175</v>
      </c>
      <c r="S82" s="39">
        <f t="shared" si="43"/>
        <v>74</v>
      </c>
      <c r="T82" s="39"/>
      <c r="U82" s="6"/>
      <c r="V82" s="4"/>
      <c r="W82" s="7"/>
      <c r="X82" s="2"/>
      <c r="Y82" s="39">
        <f t="shared" si="44"/>
        <v>942</v>
      </c>
      <c r="Z82" s="40">
        <f t="shared" si="45"/>
        <v>8916</v>
      </c>
      <c r="AA82" s="10">
        <v>500</v>
      </c>
      <c r="AB82" s="40">
        <f t="shared" si="46"/>
        <v>8416</v>
      </c>
      <c r="AC82" s="41">
        <f t="shared" si="47"/>
        <v>-8390.5</v>
      </c>
      <c r="AD82" s="42" t="e">
        <f>VLOOKUP(D82,#REF!,2,0)</f>
        <v>#REF!</v>
      </c>
      <c r="AE82" s="42" t="s">
        <v>54</v>
      </c>
      <c r="AF82" s="42">
        <v>9055.4</v>
      </c>
      <c r="AG82" s="43">
        <f t="shared" si="48"/>
        <v>639.39999999999964</v>
      </c>
      <c r="AI82" s="6" t="s">
        <v>53</v>
      </c>
      <c r="AJ82" s="42" t="b">
        <f t="shared" si="34"/>
        <v>0</v>
      </c>
      <c r="AK82" s="6">
        <v>472</v>
      </c>
      <c r="AL82" s="6"/>
      <c r="AM82" s="6"/>
      <c r="AO82" s="76">
        <v>3316492655</v>
      </c>
      <c r="AP82" s="42" t="b">
        <f t="shared" si="50"/>
        <v>0</v>
      </c>
      <c r="AR82" s="201">
        <f t="shared" si="52"/>
        <v>10</v>
      </c>
      <c r="AS82" s="201">
        <f t="shared" si="53"/>
        <v>5</v>
      </c>
      <c r="AT82" s="42">
        <v>5</v>
      </c>
    </row>
    <row r="83" spans="1:46">
      <c r="A83" s="35">
        <v>73</v>
      </c>
      <c r="B83" s="88">
        <v>102267132379</v>
      </c>
      <c r="C83" s="90">
        <v>3318143312</v>
      </c>
      <c r="D83" s="71" t="s">
        <v>385</v>
      </c>
      <c r="E83" s="6">
        <v>22</v>
      </c>
      <c r="F83" s="36">
        <v>636</v>
      </c>
      <c r="G83" s="85">
        <v>6</v>
      </c>
      <c r="H83" s="9">
        <v>5</v>
      </c>
      <c r="I83" s="37">
        <f t="shared" si="35"/>
        <v>11</v>
      </c>
      <c r="J83" s="38">
        <f t="shared" si="36"/>
        <v>3816</v>
      </c>
      <c r="K83" s="38">
        <f t="shared" si="37"/>
        <v>3180</v>
      </c>
      <c r="L83" s="38">
        <f t="shared" si="49"/>
        <v>6996</v>
      </c>
      <c r="M83" s="38">
        <f t="shared" si="38"/>
        <v>3300</v>
      </c>
      <c r="N83" s="39">
        <f t="shared" si="39"/>
        <v>165</v>
      </c>
      <c r="O83" s="38">
        <f t="shared" si="40"/>
        <v>3531</v>
      </c>
      <c r="P83" s="38">
        <f t="shared" si="41"/>
        <v>6996</v>
      </c>
      <c r="Q83" s="39">
        <f t="shared" si="42"/>
        <v>396</v>
      </c>
      <c r="R83" s="39">
        <f t="shared" si="51"/>
        <v>0</v>
      </c>
      <c r="S83" s="39">
        <f t="shared" si="43"/>
        <v>52</v>
      </c>
      <c r="T83" s="39"/>
      <c r="U83" s="6"/>
      <c r="V83" s="4"/>
      <c r="W83" s="7"/>
      <c r="X83" s="2"/>
      <c r="Y83" s="39">
        <f t="shared" si="44"/>
        <v>448</v>
      </c>
      <c r="Z83" s="40">
        <f t="shared" si="45"/>
        <v>6548</v>
      </c>
      <c r="AA83" s="10">
        <v>500</v>
      </c>
      <c r="AB83" s="40">
        <f t="shared" si="46"/>
        <v>6048</v>
      </c>
      <c r="AC83" s="41">
        <f t="shared" si="47"/>
        <v>-6026</v>
      </c>
      <c r="AD83" s="42" t="e">
        <f>VLOOKUP(D83,#REF!,2,0)</f>
        <v>#REF!</v>
      </c>
      <c r="AE83" s="27" t="s">
        <v>55</v>
      </c>
      <c r="AF83" s="27">
        <v>2460</v>
      </c>
      <c r="AG83" s="43">
        <f t="shared" si="48"/>
        <v>-3588</v>
      </c>
      <c r="AI83" s="6" t="s">
        <v>129</v>
      </c>
      <c r="AJ83" s="42" t="b">
        <f t="shared" si="34"/>
        <v>0</v>
      </c>
      <c r="AK83" s="6">
        <v>73</v>
      </c>
      <c r="AL83" s="6">
        <v>193.2</v>
      </c>
      <c r="AM83" s="6"/>
      <c r="AO83" s="76">
        <v>3314771015</v>
      </c>
      <c r="AP83" s="42" t="b">
        <f t="shared" si="50"/>
        <v>0</v>
      </c>
      <c r="AR83" s="201">
        <f t="shared" si="52"/>
        <v>11</v>
      </c>
      <c r="AS83" s="201">
        <f t="shared" si="53"/>
        <v>6</v>
      </c>
      <c r="AT83" s="42">
        <v>5</v>
      </c>
    </row>
    <row r="84" spans="1:46">
      <c r="A84" s="35">
        <v>74</v>
      </c>
      <c r="B84" s="88">
        <v>102261619396</v>
      </c>
      <c r="C84" s="90">
        <v>3318097817</v>
      </c>
      <c r="D84" s="71" t="s">
        <v>372</v>
      </c>
      <c r="E84" s="6">
        <v>26</v>
      </c>
      <c r="F84" s="36">
        <v>636</v>
      </c>
      <c r="G84" s="85">
        <v>8</v>
      </c>
      <c r="H84" s="9">
        <v>5</v>
      </c>
      <c r="I84" s="37">
        <f t="shared" si="35"/>
        <v>13</v>
      </c>
      <c r="J84" s="38">
        <f t="shared" si="36"/>
        <v>5088</v>
      </c>
      <c r="K84" s="38">
        <f t="shared" si="37"/>
        <v>3180</v>
      </c>
      <c r="L84" s="38">
        <f t="shared" si="49"/>
        <v>8268</v>
      </c>
      <c r="M84" s="38">
        <f t="shared" si="38"/>
        <v>4400</v>
      </c>
      <c r="N84" s="39">
        <f t="shared" si="39"/>
        <v>220</v>
      </c>
      <c r="O84" s="38">
        <f t="shared" si="40"/>
        <v>3648</v>
      </c>
      <c r="P84" s="38">
        <f t="shared" si="41"/>
        <v>8268</v>
      </c>
      <c r="Q84" s="39">
        <f t="shared" si="42"/>
        <v>528</v>
      </c>
      <c r="R84" s="39">
        <f t="shared" si="51"/>
        <v>175</v>
      </c>
      <c r="S84" s="39">
        <f t="shared" si="43"/>
        <v>62</v>
      </c>
      <c r="T84" s="39"/>
      <c r="U84" s="6"/>
      <c r="V84" s="4"/>
      <c r="W84" s="7"/>
      <c r="X84" s="2"/>
      <c r="Y84" s="39">
        <f t="shared" si="44"/>
        <v>765</v>
      </c>
      <c r="Z84" s="40">
        <f t="shared" si="45"/>
        <v>7503</v>
      </c>
      <c r="AA84" s="10">
        <v>500</v>
      </c>
      <c r="AB84" s="40">
        <f t="shared" si="46"/>
        <v>7003</v>
      </c>
      <c r="AC84" s="41">
        <f t="shared" si="47"/>
        <v>-6977</v>
      </c>
      <c r="AD84" s="42" t="e">
        <f>VLOOKUP(D84,#REF!,2,0)</f>
        <v>#REF!</v>
      </c>
      <c r="AE84" s="27" t="s">
        <v>56</v>
      </c>
      <c r="AF84" s="27">
        <v>8332.0499999999993</v>
      </c>
      <c r="AG84" s="43">
        <f t="shared" si="48"/>
        <v>1329.0499999999993</v>
      </c>
      <c r="AI84" s="6" t="s">
        <v>123</v>
      </c>
      <c r="AJ84" s="42" t="b">
        <f t="shared" si="34"/>
        <v>0</v>
      </c>
      <c r="AK84" s="6">
        <v>148</v>
      </c>
      <c r="AL84" s="6"/>
      <c r="AM84" s="6">
        <v>5000</v>
      </c>
      <c r="AO84" s="76">
        <v>3316548526</v>
      </c>
      <c r="AP84" s="42" t="b">
        <f t="shared" si="50"/>
        <v>0</v>
      </c>
      <c r="AR84" s="201">
        <f t="shared" si="52"/>
        <v>13</v>
      </c>
      <c r="AS84" s="201">
        <f t="shared" si="53"/>
        <v>8</v>
      </c>
      <c r="AT84" s="42">
        <v>5</v>
      </c>
    </row>
    <row r="85" spans="1:46">
      <c r="A85" s="35">
        <v>75</v>
      </c>
      <c r="B85" s="88">
        <v>102260241245</v>
      </c>
      <c r="C85" s="90">
        <v>3318077821</v>
      </c>
      <c r="D85" s="71" t="s">
        <v>373</v>
      </c>
      <c r="E85" s="6">
        <v>20</v>
      </c>
      <c r="F85" s="36">
        <v>636</v>
      </c>
      <c r="G85" s="85">
        <v>9</v>
      </c>
      <c r="H85" s="9">
        <v>5</v>
      </c>
      <c r="I85" s="37">
        <f t="shared" si="35"/>
        <v>14</v>
      </c>
      <c r="J85" s="38">
        <f t="shared" si="36"/>
        <v>5724</v>
      </c>
      <c r="K85" s="38">
        <f t="shared" si="37"/>
        <v>3180</v>
      </c>
      <c r="L85" s="38">
        <f t="shared" si="49"/>
        <v>8904</v>
      </c>
      <c r="M85" s="38">
        <f t="shared" si="38"/>
        <v>4950</v>
      </c>
      <c r="N85" s="39">
        <f t="shared" si="39"/>
        <v>248</v>
      </c>
      <c r="O85" s="38">
        <f t="shared" si="40"/>
        <v>3706</v>
      </c>
      <c r="P85" s="38">
        <f t="shared" si="41"/>
        <v>8904</v>
      </c>
      <c r="Q85" s="39">
        <f t="shared" si="42"/>
        <v>594</v>
      </c>
      <c r="R85" s="39">
        <f t="shared" si="51"/>
        <v>175</v>
      </c>
      <c r="S85" s="39">
        <f t="shared" si="43"/>
        <v>67</v>
      </c>
      <c r="T85" s="39"/>
      <c r="U85" s="6"/>
      <c r="V85" s="4"/>
      <c r="W85" s="7"/>
      <c r="X85" s="2"/>
      <c r="Y85" s="39">
        <f t="shared" si="44"/>
        <v>836</v>
      </c>
      <c r="Z85" s="40">
        <f t="shared" si="45"/>
        <v>8068</v>
      </c>
      <c r="AA85" s="10">
        <v>500</v>
      </c>
      <c r="AB85" s="40">
        <f t="shared" si="46"/>
        <v>7568</v>
      </c>
      <c r="AC85" s="41">
        <f t="shared" si="47"/>
        <v>-7548</v>
      </c>
      <c r="AD85" s="42" t="e">
        <f>VLOOKUP(D85,#REF!,2,0)</f>
        <v>#REF!</v>
      </c>
      <c r="AE85" s="27" t="s">
        <v>57</v>
      </c>
      <c r="AF85" s="27">
        <v>7784.05</v>
      </c>
      <c r="AG85" s="43">
        <f t="shared" si="48"/>
        <v>216.05000000000018</v>
      </c>
      <c r="AI85" s="6" t="s">
        <v>139</v>
      </c>
      <c r="AJ85" s="42" t="b">
        <f t="shared" si="34"/>
        <v>0</v>
      </c>
      <c r="AK85" s="6">
        <v>323</v>
      </c>
      <c r="AL85" s="6">
        <v>84</v>
      </c>
      <c r="AM85" s="6"/>
      <c r="AO85" s="76">
        <v>3316906128</v>
      </c>
      <c r="AP85" s="42" t="b">
        <f t="shared" si="50"/>
        <v>0</v>
      </c>
      <c r="AR85" s="201">
        <f t="shared" si="52"/>
        <v>6</v>
      </c>
      <c r="AS85" s="201">
        <f t="shared" si="53"/>
        <v>1</v>
      </c>
      <c r="AT85" s="42">
        <v>5</v>
      </c>
    </row>
    <row r="86" spans="1:46">
      <c r="A86" s="35">
        <v>76</v>
      </c>
      <c r="B86" s="88">
        <v>102192447029</v>
      </c>
      <c r="C86" s="90">
        <v>3318084503</v>
      </c>
      <c r="D86" s="71" t="s">
        <v>374</v>
      </c>
      <c r="E86" s="6">
        <v>28</v>
      </c>
      <c r="F86" s="36">
        <v>636</v>
      </c>
      <c r="G86" s="86">
        <v>11</v>
      </c>
      <c r="H86" s="9">
        <v>5</v>
      </c>
      <c r="I86" s="37">
        <f t="shared" si="35"/>
        <v>16</v>
      </c>
      <c r="J86" s="38">
        <f t="shared" si="36"/>
        <v>6996</v>
      </c>
      <c r="K86" s="38">
        <f t="shared" si="37"/>
        <v>3180</v>
      </c>
      <c r="L86" s="38">
        <f t="shared" si="49"/>
        <v>10176</v>
      </c>
      <c r="M86" s="38">
        <f t="shared" si="38"/>
        <v>6050</v>
      </c>
      <c r="N86" s="39">
        <f t="shared" si="39"/>
        <v>303</v>
      </c>
      <c r="O86" s="38">
        <f t="shared" si="40"/>
        <v>3823</v>
      </c>
      <c r="P86" s="38">
        <f t="shared" si="41"/>
        <v>10176</v>
      </c>
      <c r="Q86" s="39">
        <f t="shared" si="42"/>
        <v>726</v>
      </c>
      <c r="R86" s="39">
        <f t="shared" si="51"/>
        <v>200</v>
      </c>
      <c r="S86" s="39">
        <f t="shared" si="43"/>
        <v>76</v>
      </c>
      <c r="T86" s="39"/>
      <c r="U86" s="6"/>
      <c r="V86" s="4"/>
      <c r="W86" s="7"/>
      <c r="X86" s="2"/>
      <c r="Y86" s="39">
        <f t="shared" si="44"/>
        <v>1002</v>
      </c>
      <c r="Z86" s="40">
        <f t="shared" si="45"/>
        <v>9174</v>
      </c>
      <c r="AA86" s="10">
        <v>500</v>
      </c>
      <c r="AB86" s="40">
        <f t="shared" si="46"/>
        <v>8674</v>
      </c>
      <c r="AC86" s="41">
        <f t="shared" si="47"/>
        <v>-8646</v>
      </c>
      <c r="AD86" s="42" t="e">
        <f>VLOOKUP(D86,#REF!,2,0)</f>
        <v>#REF!</v>
      </c>
      <c r="AE86" s="27" t="s">
        <v>2</v>
      </c>
      <c r="AF86" s="27">
        <v>-884.6</v>
      </c>
      <c r="AG86" s="43">
        <f t="shared" si="48"/>
        <v>-9558.6</v>
      </c>
      <c r="AI86" s="47" t="s">
        <v>153</v>
      </c>
      <c r="AJ86" s="42" t="b">
        <f t="shared" si="34"/>
        <v>0</v>
      </c>
      <c r="AK86" s="6">
        <v>255</v>
      </c>
      <c r="AL86" s="6">
        <v>84</v>
      </c>
      <c r="AM86" s="6"/>
      <c r="AO86" s="76">
        <v>3315530821</v>
      </c>
      <c r="AP86" s="42" t="b">
        <f t="shared" si="50"/>
        <v>0</v>
      </c>
      <c r="AR86" s="201">
        <f t="shared" si="52"/>
        <v>12</v>
      </c>
      <c r="AS86" s="201">
        <f t="shared" si="53"/>
        <v>7</v>
      </c>
      <c r="AT86" s="42">
        <v>5</v>
      </c>
    </row>
    <row r="87" spans="1:46">
      <c r="A87" s="35">
        <v>77</v>
      </c>
      <c r="B87" s="88">
        <v>102259643488</v>
      </c>
      <c r="C87" s="90">
        <v>3318084644</v>
      </c>
      <c r="D87" s="71" t="s">
        <v>375</v>
      </c>
      <c r="E87" s="6">
        <v>0</v>
      </c>
      <c r="F87" s="36">
        <v>636</v>
      </c>
      <c r="G87" s="86">
        <v>0</v>
      </c>
      <c r="H87" s="9"/>
      <c r="I87" s="37">
        <f t="shared" si="35"/>
        <v>0</v>
      </c>
      <c r="J87" s="38">
        <f t="shared" si="36"/>
        <v>0</v>
      </c>
      <c r="K87" s="38">
        <f t="shared" si="37"/>
        <v>0</v>
      </c>
      <c r="L87" s="38">
        <f t="shared" si="49"/>
        <v>0</v>
      </c>
      <c r="M87" s="38">
        <f t="shared" si="38"/>
        <v>0</v>
      </c>
      <c r="N87" s="39">
        <f t="shared" si="39"/>
        <v>0</v>
      </c>
      <c r="O87" s="38">
        <f t="shared" si="40"/>
        <v>0</v>
      </c>
      <c r="P87" s="38">
        <f t="shared" si="41"/>
        <v>0</v>
      </c>
      <c r="Q87" s="39">
        <f t="shared" si="42"/>
        <v>0</v>
      </c>
      <c r="R87" s="39">
        <f t="shared" si="51"/>
        <v>0</v>
      </c>
      <c r="S87" s="39">
        <f t="shared" si="43"/>
        <v>0</v>
      </c>
      <c r="T87" s="39"/>
      <c r="U87" s="6"/>
      <c r="V87" s="4"/>
      <c r="W87" s="7"/>
      <c r="X87" s="2"/>
      <c r="Y87" s="39">
        <f t="shared" si="44"/>
        <v>0</v>
      </c>
      <c r="Z87" s="40">
        <f t="shared" si="45"/>
        <v>0</v>
      </c>
      <c r="AA87" s="10">
        <v>500</v>
      </c>
      <c r="AB87" s="40">
        <f t="shared" si="46"/>
        <v>-500</v>
      </c>
      <c r="AC87" s="41">
        <f t="shared" si="47"/>
        <v>500</v>
      </c>
      <c r="AD87" s="42" t="e">
        <f>VLOOKUP(D87,#REF!,2,0)</f>
        <v>#REF!</v>
      </c>
      <c r="AE87" s="27" t="s">
        <v>33</v>
      </c>
      <c r="AF87" s="27">
        <v>5892.1</v>
      </c>
      <c r="AG87" s="43">
        <f t="shared" si="48"/>
        <v>6392.1</v>
      </c>
      <c r="AI87" s="6" t="s">
        <v>56</v>
      </c>
      <c r="AJ87" s="42" t="b">
        <f t="shared" si="34"/>
        <v>0</v>
      </c>
      <c r="AK87" s="6">
        <v>360</v>
      </c>
      <c r="AL87" s="6"/>
      <c r="AM87" s="6"/>
      <c r="AO87" s="76">
        <v>3311838973</v>
      </c>
      <c r="AP87" s="42" t="b">
        <f t="shared" si="50"/>
        <v>0</v>
      </c>
      <c r="AR87" s="201">
        <f t="shared" si="52"/>
        <v>0</v>
      </c>
      <c r="AS87" s="201">
        <f t="shared" si="53"/>
        <v>-5</v>
      </c>
      <c r="AT87" s="42">
        <v>5</v>
      </c>
    </row>
    <row r="88" spans="1:46">
      <c r="A88" s="35">
        <v>78</v>
      </c>
      <c r="B88" s="88">
        <v>101424676055</v>
      </c>
      <c r="C88" s="90">
        <v>3318058546</v>
      </c>
      <c r="D88" s="71" t="s">
        <v>362</v>
      </c>
      <c r="E88" s="6">
        <v>26.5</v>
      </c>
      <c r="F88" s="36">
        <v>636</v>
      </c>
      <c r="G88" s="85">
        <v>9.5</v>
      </c>
      <c r="H88" s="9">
        <v>5</v>
      </c>
      <c r="I88" s="37">
        <f t="shared" si="35"/>
        <v>14.5</v>
      </c>
      <c r="J88" s="38">
        <f t="shared" si="36"/>
        <v>6042</v>
      </c>
      <c r="K88" s="38">
        <f t="shared" si="37"/>
        <v>3180</v>
      </c>
      <c r="L88" s="38">
        <f t="shared" si="49"/>
        <v>9222</v>
      </c>
      <c r="M88" s="38">
        <f t="shared" si="38"/>
        <v>5225</v>
      </c>
      <c r="N88" s="39">
        <f t="shared" si="39"/>
        <v>261</v>
      </c>
      <c r="O88" s="38">
        <f t="shared" si="40"/>
        <v>3736</v>
      </c>
      <c r="P88" s="38">
        <f t="shared" si="41"/>
        <v>9222</v>
      </c>
      <c r="Q88" s="39">
        <f t="shared" si="42"/>
        <v>627</v>
      </c>
      <c r="R88" s="39">
        <f t="shared" si="51"/>
        <v>175</v>
      </c>
      <c r="S88" s="39">
        <f t="shared" si="43"/>
        <v>69</v>
      </c>
      <c r="T88" s="39"/>
      <c r="U88" s="6"/>
      <c r="V88" s="4"/>
      <c r="W88" s="7"/>
      <c r="X88" s="2"/>
      <c r="Y88" s="39">
        <f t="shared" si="44"/>
        <v>871</v>
      </c>
      <c r="Z88" s="40">
        <f t="shared" si="45"/>
        <v>8351</v>
      </c>
      <c r="AA88" s="10">
        <v>500</v>
      </c>
      <c r="AB88" s="40">
        <f t="shared" si="46"/>
        <v>7851</v>
      </c>
      <c r="AC88" s="41">
        <f t="shared" si="47"/>
        <v>-7824.5</v>
      </c>
      <c r="AD88" s="42" t="e">
        <f>VLOOKUP(D88,#REF!,2,0)</f>
        <v>#REF!</v>
      </c>
      <c r="AE88" s="27" t="s">
        <v>27</v>
      </c>
      <c r="AF88" s="27">
        <v>13396.1</v>
      </c>
      <c r="AG88" s="43">
        <f t="shared" si="48"/>
        <v>5545.1</v>
      </c>
      <c r="AI88" s="6" t="s">
        <v>40</v>
      </c>
      <c r="AJ88" s="42" t="b">
        <f t="shared" si="34"/>
        <v>0</v>
      </c>
      <c r="AK88" s="6">
        <v>529</v>
      </c>
      <c r="AL88" s="6"/>
      <c r="AM88" s="6">
        <v>5000</v>
      </c>
      <c r="AO88" s="76">
        <v>3315883972</v>
      </c>
      <c r="AP88" s="42" t="b">
        <f t="shared" si="50"/>
        <v>0</v>
      </c>
      <c r="AR88" s="201">
        <f t="shared" si="52"/>
        <v>12</v>
      </c>
      <c r="AS88" s="201">
        <f t="shared" si="53"/>
        <v>7</v>
      </c>
      <c r="AT88" s="42">
        <v>5</v>
      </c>
    </row>
    <row r="89" spans="1:46">
      <c r="A89" s="35">
        <v>79</v>
      </c>
      <c r="B89" s="88">
        <v>101281737627</v>
      </c>
      <c r="C89" s="90">
        <v>3315008810</v>
      </c>
      <c r="D89" s="71" t="s">
        <v>210</v>
      </c>
      <c r="E89" s="6">
        <v>0</v>
      </c>
      <c r="F89" s="36">
        <v>636</v>
      </c>
      <c r="G89" s="85">
        <v>0</v>
      </c>
      <c r="H89" s="9"/>
      <c r="I89" s="37">
        <f t="shared" si="35"/>
        <v>0</v>
      </c>
      <c r="J89" s="38">
        <f t="shared" si="36"/>
        <v>0</v>
      </c>
      <c r="K89" s="38">
        <f t="shared" si="37"/>
        <v>0</v>
      </c>
      <c r="L89" s="38">
        <f t="shared" si="49"/>
        <v>0</v>
      </c>
      <c r="M89" s="38">
        <f t="shared" si="38"/>
        <v>0</v>
      </c>
      <c r="N89" s="39">
        <f t="shared" si="39"/>
        <v>0</v>
      </c>
      <c r="O89" s="38">
        <f t="shared" si="40"/>
        <v>0</v>
      </c>
      <c r="P89" s="38">
        <f t="shared" si="41"/>
        <v>0</v>
      </c>
      <c r="Q89" s="39">
        <f t="shared" si="42"/>
        <v>0</v>
      </c>
      <c r="R89" s="39">
        <f t="shared" si="51"/>
        <v>0</v>
      </c>
      <c r="S89" s="39">
        <f t="shared" si="43"/>
        <v>0</v>
      </c>
      <c r="T89" s="39"/>
      <c r="U89" s="6"/>
      <c r="V89" s="4"/>
      <c r="W89" s="8"/>
      <c r="X89" s="2"/>
      <c r="Y89" s="39">
        <f t="shared" si="44"/>
        <v>0</v>
      </c>
      <c r="Z89" s="40">
        <f t="shared" si="45"/>
        <v>0</v>
      </c>
      <c r="AA89" s="10">
        <v>500</v>
      </c>
      <c r="AB89" s="40">
        <f t="shared" si="46"/>
        <v>-500</v>
      </c>
      <c r="AC89" s="41">
        <f t="shared" si="47"/>
        <v>500</v>
      </c>
      <c r="AD89" s="42" t="e">
        <f>VLOOKUP(D89,#REF!,2,0)</f>
        <v>#REF!</v>
      </c>
      <c r="AE89" s="27" t="s">
        <v>92</v>
      </c>
      <c r="AF89" s="27">
        <v>8227</v>
      </c>
      <c r="AG89" s="43">
        <f t="shared" si="48"/>
        <v>8727</v>
      </c>
      <c r="AI89" s="6" t="s">
        <v>41</v>
      </c>
      <c r="AJ89" s="42" t="b">
        <f t="shared" si="34"/>
        <v>0</v>
      </c>
      <c r="AK89" s="6">
        <v>436</v>
      </c>
      <c r="AL89" s="6"/>
      <c r="AM89" s="6"/>
      <c r="AO89" s="76">
        <v>3316592493</v>
      </c>
      <c r="AP89" s="42" t="b">
        <f t="shared" si="50"/>
        <v>0</v>
      </c>
      <c r="AR89" s="201">
        <f t="shared" si="52"/>
        <v>0</v>
      </c>
      <c r="AS89" s="201">
        <f t="shared" si="53"/>
        <v>-5</v>
      </c>
      <c r="AT89" s="42">
        <v>5</v>
      </c>
    </row>
    <row r="90" spans="1:46">
      <c r="A90" s="35">
        <v>80</v>
      </c>
      <c r="B90" s="88">
        <v>101591620448</v>
      </c>
      <c r="C90" s="76">
        <v>3311921178</v>
      </c>
      <c r="D90" s="71" t="s">
        <v>393</v>
      </c>
      <c r="E90" s="6">
        <v>21.5</v>
      </c>
      <c r="F90" s="36">
        <v>636</v>
      </c>
      <c r="G90" s="86">
        <v>7.5</v>
      </c>
      <c r="H90" s="9">
        <v>5</v>
      </c>
      <c r="I90" s="37">
        <f t="shared" si="35"/>
        <v>12.5</v>
      </c>
      <c r="J90" s="38">
        <f t="shared" si="36"/>
        <v>4770</v>
      </c>
      <c r="K90" s="38">
        <f t="shared" si="37"/>
        <v>3180</v>
      </c>
      <c r="L90" s="38">
        <f t="shared" si="49"/>
        <v>7950</v>
      </c>
      <c r="M90" s="38">
        <f t="shared" si="38"/>
        <v>4125</v>
      </c>
      <c r="N90" s="39">
        <f t="shared" si="39"/>
        <v>206</v>
      </c>
      <c r="O90" s="38">
        <f t="shared" si="40"/>
        <v>3619</v>
      </c>
      <c r="P90" s="38">
        <f t="shared" si="41"/>
        <v>7950</v>
      </c>
      <c r="Q90" s="39">
        <f t="shared" si="42"/>
        <v>495</v>
      </c>
      <c r="R90" s="39">
        <f t="shared" si="51"/>
        <v>175</v>
      </c>
      <c r="S90" s="39">
        <f t="shared" si="43"/>
        <v>60</v>
      </c>
      <c r="T90" s="39"/>
      <c r="U90" s="6"/>
      <c r="V90" s="4"/>
      <c r="W90" s="8"/>
      <c r="X90" s="2"/>
      <c r="Y90" s="39">
        <f t="shared" si="44"/>
        <v>730</v>
      </c>
      <c r="Z90" s="40">
        <f t="shared" si="45"/>
        <v>7220</v>
      </c>
      <c r="AA90" s="10">
        <v>500</v>
      </c>
      <c r="AB90" s="40">
        <f t="shared" si="46"/>
        <v>6720</v>
      </c>
      <c r="AC90" s="41">
        <f t="shared" si="47"/>
        <v>-6698.5</v>
      </c>
      <c r="AD90" s="42" t="e">
        <f>VLOOKUP(D90,#REF!,2,0)</f>
        <v>#REF!</v>
      </c>
      <c r="AE90" s="27"/>
      <c r="AF90" s="27">
        <f>12116+5729</f>
        <v>17845</v>
      </c>
      <c r="AG90" s="43">
        <f t="shared" si="48"/>
        <v>11125</v>
      </c>
      <c r="AI90" s="6" t="s">
        <v>92</v>
      </c>
      <c r="AJ90" s="42" t="b">
        <f t="shared" si="34"/>
        <v>0</v>
      </c>
      <c r="AK90" s="6">
        <v>310</v>
      </c>
      <c r="AL90" s="6">
        <v>126</v>
      </c>
      <c r="AM90" s="6"/>
      <c r="AO90" s="76">
        <v>3317308461</v>
      </c>
      <c r="AP90" s="42" t="b">
        <f t="shared" si="50"/>
        <v>0</v>
      </c>
      <c r="AR90" s="201">
        <f t="shared" si="52"/>
        <v>9</v>
      </c>
      <c r="AS90" s="201">
        <f t="shared" si="53"/>
        <v>4</v>
      </c>
      <c r="AT90" s="42">
        <v>5</v>
      </c>
    </row>
    <row r="91" spans="1:46">
      <c r="A91" s="35">
        <v>81</v>
      </c>
      <c r="B91" s="88">
        <v>101807758862</v>
      </c>
      <c r="C91" s="90">
        <v>3313837818</v>
      </c>
      <c r="D91" s="71" t="s">
        <v>392</v>
      </c>
      <c r="E91" s="6">
        <v>25</v>
      </c>
      <c r="F91" s="36">
        <v>636</v>
      </c>
      <c r="G91" s="85">
        <v>9</v>
      </c>
      <c r="H91" s="9">
        <v>5</v>
      </c>
      <c r="I91" s="37">
        <f t="shared" si="35"/>
        <v>14</v>
      </c>
      <c r="J91" s="38">
        <f t="shared" si="36"/>
        <v>5724</v>
      </c>
      <c r="K91" s="38">
        <f t="shared" si="37"/>
        <v>3180</v>
      </c>
      <c r="L91" s="38">
        <f t="shared" si="49"/>
        <v>8904</v>
      </c>
      <c r="M91" s="38">
        <f t="shared" si="38"/>
        <v>4950</v>
      </c>
      <c r="N91" s="39">
        <f t="shared" si="39"/>
        <v>248</v>
      </c>
      <c r="O91" s="38">
        <f t="shared" si="40"/>
        <v>3706</v>
      </c>
      <c r="P91" s="38">
        <f t="shared" si="41"/>
        <v>8904</v>
      </c>
      <c r="Q91" s="39">
        <f t="shared" si="42"/>
        <v>594</v>
      </c>
      <c r="R91" s="39">
        <f t="shared" si="51"/>
        <v>175</v>
      </c>
      <c r="S91" s="39">
        <f t="shared" si="43"/>
        <v>67</v>
      </c>
      <c r="T91" s="39"/>
      <c r="U91" s="6"/>
      <c r="V91" s="7"/>
      <c r="W91" s="8"/>
      <c r="X91" s="6"/>
      <c r="Y91" s="39">
        <f t="shared" si="44"/>
        <v>836</v>
      </c>
      <c r="Z91" s="40">
        <f t="shared" si="45"/>
        <v>8068</v>
      </c>
      <c r="AA91" s="10">
        <v>500</v>
      </c>
      <c r="AB91" s="40">
        <f t="shared" si="46"/>
        <v>7568</v>
      </c>
      <c r="AC91" s="41">
        <f t="shared" si="47"/>
        <v>-7543</v>
      </c>
      <c r="AD91" s="42" t="e">
        <f>VLOOKUP(D91,#REF!,2,0)</f>
        <v>#REF!</v>
      </c>
      <c r="AE91" s="46" t="s">
        <v>91</v>
      </c>
      <c r="AF91" s="46">
        <v>7147.4</v>
      </c>
      <c r="AG91" s="43">
        <f t="shared" si="48"/>
        <v>-420.60000000000036</v>
      </c>
      <c r="AI91" s="6" t="s">
        <v>161</v>
      </c>
      <c r="AJ91" s="42" t="b">
        <f t="shared" si="34"/>
        <v>0</v>
      </c>
      <c r="AK91" s="6"/>
      <c r="AL91" s="6"/>
      <c r="AM91" s="6"/>
      <c r="AO91" s="76">
        <v>3317308570</v>
      </c>
      <c r="AP91" s="42" t="b">
        <f t="shared" si="50"/>
        <v>0</v>
      </c>
      <c r="AR91" s="201">
        <f t="shared" si="52"/>
        <v>11</v>
      </c>
      <c r="AS91" s="201">
        <f t="shared" si="53"/>
        <v>6</v>
      </c>
      <c r="AT91" s="42">
        <v>5</v>
      </c>
    </row>
    <row r="92" spans="1:46">
      <c r="A92" s="35">
        <v>82</v>
      </c>
      <c r="B92" s="88">
        <v>102146549923</v>
      </c>
      <c r="C92" s="76">
        <v>3317096013</v>
      </c>
      <c r="D92" s="71" t="s">
        <v>344</v>
      </c>
      <c r="E92" s="6">
        <v>25</v>
      </c>
      <c r="F92" s="36">
        <v>636</v>
      </c>
      <c r="G92" s="85">
        <v>9</v>
      </c>
      <c r="H92" s="9">
        <v>5</v>
      </c>
      <c r="I92" s="37">
        <f t="shared" si="35"/>
        <v>14</v>
      </c>
      <c r="J92" s="38">
        <f t="shared" si="36"/>
        <v>5724</v>
      </c>
      <c r="K92" s="38">
        <f t="shared" si="37"/>
        <v>3180</v>
      </c>
      <c r="L92" s="38">
        <f t="shared" si="49"/>
        <v>8904</v>
      </c>
      <c r="M92" s="38">
        <f t="shared" si="38"/>
        <v>4950</v>
      </c>
      <c r="N92" s="39">
        <f t="shared" si="39"/>
        <v>248</v>
      </c>
      <c r="O92" s="38">
        <f t="shared" si="40"/>
        <v>3706</v>
      </c>
      <c r="P92" s="38">
        <f t="shared" si="41"/>
        <v>8904</v>
      </c>
      <c r="Q92" s="39">
        <f t="shared" si="42"/>
        <v>594</v>
      </c>
      <c r="R92" s="39">
        <f t="shared" si="51"/>
        <v>175</v>
      </c>
      <c r="S92" s="39">
        <f t="shared" si="43"/>
        <v>67</v>
      </c>
      <c r="T92" s="39"/>
      <c r="U92" s="6"/>
      <c r="V92" s="8"/>
      <c r="W92" s="8"/>
      <c r="X92" s="6"/>
      <c r="Y92" s="39">
        <f t="shared" si="44"/>
        <v>836</v>
      </c>
      <c r="Z92" s="40">
        <f t="shared" si="45"/>
        <v>8068</v>
      </c>
      <c r="AA92" s="10">
        <v>500</v>
      </c>
      <c r="AB92" s="40">
        <f t="shared" si="46"/>
        <v>7568</v>
      </c>
      <c r="AC92" s="41">
        <f t="shared" si="47"/>
        <v>-7543</v>
      </c>
      <c r="AD92" s="42" t="e">
        <f>VLOOKUP(D92,#REF!,2,0)</f>
        <v>#REF!</v>
      </c>
      <c r="AE92" s="46" t="s">
        <v>93</v>
      </c>
      <c r="AF92" s="46">
        <v>2175</v>
      </c>
      <c r="AG92" s="43">
        <f t="shared" si="48"/>
        <v>-5393</v>
      </c>
      <c r="AI92" s="6" t="s">
        <v>157</v>
      </c>
      <c r="AJ92" s="42" t="b">
        <f t="shared" si="34"/>
        <v>0</v>
      </c>
      <c r="AK92" s="6">
        <v>203</v>
      </c>
      <c r="AL92" s="6">
        <v>210</v>
      </c>
      <c r="AM92" s="6"/>
      <c r="AO92" s="76">
        <v>3317208223</v>
      </c>
      <c r="AP92" s="42" t="b">
        <f t="shared" si="50"/>
        <v>0</v>
      </c>
      <c r="AR92" s="201">
        <f t="shared" si="52"/>
        <v>11</v>
      </c>
      <c r="AS92" s="201">
        <f t="shared" si="53"/>
        <v>6</v>
      </c>
      <c r="AT92" s="42">
        <v>5</v>
      </c>
    </row>
    <row r="93" spans="1:46">
      <c r="A93" s="35">
        <v>83</v>
      </c>
      <c r="B93" s="88">
        <v>102146553230</v>
      </c>
      <c r="C93" s="90">
        <v>3317715395</v>
      </c>
      <c r="D93" s="71" t="s">
        <v>345</v>
      </c>
      <c r="E93" s="6">
        <v>25</v>
      </c>
      <c r="F93" s="36">
        <v>636</v>
      </c>
      <c r="G93" s="86">
        <v>8</v>
      </c>
      <c r="H93" s="9">
        <v>5</v>
      </c>
      <c r="I93" s="37">
        <f t="shared" si="35"/>
        <v>13</v>
      </c>
      <c r="J93" s="38">
        <f t="shared" si="36"/>
        <v>5088</v>
      </c>
      <c r="K93" s="38">
        <f t="shared" si="37"/>
        <v>3180</v>
      </c>
      <c r="L93" s="38">
        <f t="shared" si="49"/>
        <v>8268</v>
      </c>
      <c r="M93" s="38">
        <f t="shared" si="38"/>
        <v>4400</v>
      </c>
      <c r="N93" s="39">
        <f t="shared" si="39"/>
        <v>220</v>
      </c>
      <c r="O93" s="38">
        <f t="shared" si="40"/>
        <v>3648</v>
      </c>
      <c r="P93" s="38">
        <f t="shared" si="41"/>
        <v>8268</v>
      </c>
      <c r="Q93" s="39">
        <f t="shared" si="42"/>
        <v>528</v>
      </c>
      <c r="R93" s="39">
        <f t="shared" si="51"/>
        <v>175</v>
      </c>
      <c r="S93" s="39">
        <f t="shared" si="43"/>
        <v>62</v>
      </c>
      <c r="T93" s="39"/>
      <c r="U93" s="6"/>
      <c r="V93" s="8"/>
      <c r="W93" s="8"/>
      <c r="X93" s="6"/>
      <c r="Y93" s="39">
        <f t="shared" si="44"/>
        <v>765</v>
      </c>
      <c r="Z93" s="40">
        <f t="shared" si="45"/>
        <v>7503</v>
      </c>
      <c r="AA93" s="10">
        <v>500</v>
      </c>
      <c r="AB93" s="40">
        <f t="shared" si="46"/>
        <v>7003</v>
      </c>
      <c r="AC93" s="41">
        <f t="shared" si="47"/>
        <v>-6978</v>
      </c>
      <c r="AD93" s="42" t="e">
        <f>VLOOKUP(D93,#REF!,2,0)</f>
        <v>#REF!</v>
      </c>
      <c r="AE93" s="46"/>
      <c r="AF93" s="46"/>
      <c r="AI93" s="6" t="s">
        <v>160</v>
      </c>
      <c r="AJ93" s="42" t="b">
        <f t="shared" si="34"/>
        <v>0</v>
      </c>
      <c r="AK93" s="6"/>
      <c r="AL93" s="6"/>
      <c r="AM93" s="6"/>
      <c r="AO93" s="76">
        <v>3317113283</v>
      </c>
      <c r="AP93" s="42" t="b">
        <f t="shared" si="50"/>
        <v>0</v>
      </c>
      <c r="AR93" s="201">
        <f t="shared" si="52"/>
        <v>12</v>
      </c>
      <c r="AS93" s="201">
        <f t="shared" si="53"/>
        <v>7</v>
      </c>
      <c r="AT93" s="42">
        <v>5</v>
      </c>
    </row>
    <row r="94" spans="1:46">
      <c r="A94" s="35">
        <v>84</v>
      </c>
      <c r="B94" s="95">
        <v>101241926666</v>
      </c>
      <c r="C94" s="103">
        <v>3315479975</v>
      </c>
      <c r="D94" s="71" t="s">
        <v>348</v>
      </c>
      <c r="E94" s="6">
        <v>16</v>
      </c>
      <c r="F94" s="36">
        <v>636</v>
      </c>
      <c r="G94" s="85">
        <v>6</v>
      </c>
      <c r="H94" s="9">
        <v>5</v>
      </c>
      <c r="I94" s="37">
        <f t="shared" si="35"/>
        <v>11</v>
      </c>
      <c r="J94" s="38">
        <f t="shared" si="36"/>
        <v>3816</v>
      </c>
      <c r="K94" s="38">
        <f t="shared" si="37"/>
        <v>3180</v>
      </c>
      <c r="L94" s="38">
        <f t="shared" si="49"/>
        <v>6996</v>
      </c>
      <c r="M94" s="38">
        <f t="shared" si="38"/>
        <v>3300</v>
      </c>
      <c r="N94" s="39">
        <f t="shared" si="39"/>
        <v>165</v>
      </c>
      <c r="O94" s="38">
        <f t="shared" si="40"/>
        <v>3531</v>
      </c>
      <c r="P94" s="38">
        <f t="shared" si="41"/>
        <v>6996</v>
      </c>
      <c r="Q94" s="39">
        <f t="shared" si="42"/>
        <v>396</v>
      </c>
      <c r="R94" s="39">
        <f t="shared" si="51"/>
        <v>0</v>
      </c>
      <c r="S94" s="39">
        <f t="shared" si="43"/>
        <v>52</v>
      </c>
      <c r="T94" s="39"/>
      <c r="U94" s="6"/>
      <c r="V94" s="8"/>
      <c r="W94" s="8"/>
      <c r="X94" s="6"/>
      <c r="Y94" s="39">
        <f t="shared" si="44"/>
        <v>448</v>
      </c>
      <c r="Z94" s="40">
        <f t="shared" si="45"/>
        <v>6548</v>
      </c>
      <c r="AA94" s="10">
        <v>500</v>
      </c>
      <c r="AB94" s="40">
        <f t="shared" si="46"/>
        <v>6048</v>
      </c>
      <c r="AC94" s="41">
        <f t="shared" si="47"/>
        <v>-6032</v>
      </c>
      <c r="AD94" s="42" t="e">
        <f>VLOOKUP(D94,#REF!,2,0)</f>
        <v>#REF!</v>
      </c>
      <c r="AE94" s="46"/>
      <c r="AF94" s="46"/>
      <c r="AI94" s="6" t="s">
        <v>159</v>
      </c>
      <c r="AJ94" s="42" t="b">
        <f t="shared" si="34"/>
        <v>0</v>
      </c>
      <c r="AK94" s="6"/>
      <c r="AL94" s="6"/>
      <c r="AM94" s="6"/>
      <c r="AO94" s="76">
        <v>3317141751</v>
      </c>
      <c r="AP94" s="42" t="b">
        <f t="shared" si="50"/>
        <v>0</v>
      </c>
      <c r="AR94" s="201">
        <f t="shared" si="52"/>
        <v>5</v>
      </c>
      <c r="AS94" s="201">
        <f t="shared" si="53"/>
        <v>0</v>
      </c>
      <c r="AT94" s="42">
        <v>5</v>
      </c>
    </row>
    <row r="95" spans="1:46">
      <c r="A95" s="35">
        <v>85</v>
      </c>
      <c r="B95" s="79">
        <v>101154454730</v>
      </c>
      <c r="C95" s="76">
        <v>3308695163</v>
      </c>
      <c r="D95" s="71" t="s">
        <v>220</v>
      </c>
      <c r="E95" s="6">
        <v>15.5</v>
      </c>
      <c r="F95" s="36">
        <v>636</v>
      </c>
      <c r="G95" s="85">
        <v>6.5</v>
      </c>
      <c r="H95" s="9">
        <v>5</v>
      </c>
      <c r="I95" s="37">
        <f t="shared" si="35"/>
        <v>11.5</v>
      </c>
      <c r="J95" s="38">
        <f t="shared" si="36"/>
        <v>4134</v>
      </c>
      <c r="K95" s="38">
        <f t="shared" si="37"/>
        <v>3180</v>
      </c>
      <c r="L95" s="38">
        <f t="shared" si="49"/>
        <v>7314</v>
      </c>
      <c r="M95" s="38">
        <f t="shared" si="38"/>
        <v>3575</v>
      </c>
      <c r="N95" s="39">
        <f t="shared" si="39"/>
        <v>179</v>
      </c>
      <c r="O95" s="38">
        <f t="shared" si="40"/>
        <v>3560</v>
      </c>
      <c r="P95" s="38">
        <f t="shared" si="41"/>
        <v>7314</v>
      </c>
      <c r="Q95" s="39">
        <f t="shared" si="42"/>
        <v>429</v>
      </c>
      <c r="R95" s="39">
        <f t="shared" si="51"/>
        <v>0</v>
      </c>
      <c r="S95" s="39">
        <f t="shared" si="43"/>
        <v>55</v>
      </c>
      <c r="T95" s="39"/>
      <c r="U95" s="6"/>
      <c r="V95" s="8"/>
      <c r="W95" s="8"/>
      <c r="X95" s="6"/>
      <c r="Y95" s="39">
        <f t="shared" si="44"/>
        <v>484</v>
      </c>
      <c r="Z95" s="40">
        <f t="shared" si="45"/>
        <v>6830</v>
      </c>
      <c r="AA95" s="10">
        <v>500</v>
      </c>
      <c r="AB95" s="40">
        <f t="shared" si="46"/>
        <v>6330</v>
      </c>
      <c r="AC95" s="41">
        <f t="shared" si="47"/>
        <v>-6314.5</v>
      </c>
      <c r="AD95" s="42" t="e">
        <f>VLOOKUP(D95,#REF!,2,0)</f>
        <v>#REF!</v>
      </c>
      <c r="AE95" s="46"/>
      <c r="AF95" s="46"/>
      <c r="AI95" s="5" t="s">
        <v>162</v>
      </c>
      <c r="AJ95" s="42" t="b">
        <f t="shared" si="34"/>
        <v>0</v>
      </c>
      <c r="AK95" s="5">
        <v>114</v>
      </c>
      <c r="AL95" s="5">
        <v>50</v>
      </c>
      <c r="AM95" s="5"/>
      <c r="AO95" s="72">
        <v>3317308284</v>
      </c>
      <c r="AP95" s="42" t="b">
        <f t="shared" si="50"/>
        <v>0</v>
      </c>
      <c r="AR95" s="201">
        <f t="shared" si="52"/>
        <v>4</v>
      </c>
      <c r="AS95" s="201">
        <f t="shared" si="53"/>
        <v>-1</v>
      </c>
      <c r="AT95" s="42">
        <v>5</v>
      </c>
    </row>
    <row r="96" spans="1:46">
      <c r="A96" s="35">
        <v>86</v>
      </c>
      <c r="B96" s="79">
        <v>102067179570</v>
      </c>
      <c r="C96" s="76">
        <v>3316330556</v>
      </c>
      <c r="D96" s="71" t="s">
        <v>182</v>
      </c>
      <c r="E96" s="6">
        <v>29</v>
      </c>
      <c r="F96" s="36">
        <v>636</v>
      </c>
      <c r="G96" s="85">
        <v>9</v>
      </c>
      <c r="H96" s="9">
        <v>5</v>
      </c>
      <c r="I96" s="37">
        <f t="shared" si="35"/>
        <v>14</v>
      </c>
      <c r="J96" s="38">
        <f t="shared" si="36"/>
        <v>5724</v>
      </c>
      <c r="K96" s="38">
        <f t="shared" si="37"/>
        <v>3180</v>
      </c>
      <c r="L96" s="38">
        <f t="shared" si="49"/>
        <v>8904</v>
      </c>
      <c r="M96" s="38">
        <f t="shared" si="38"/>
        <v>4950</v>
      </c>
      <c r="N96" s="39">
        <f t="shared" si="39"/>
        <v>248</v>
      </c>
      <c r="O96" s="38">
        <f t="shared" si="40"/>
        <v>3706</v>
      </c>
      <c r="P96" s="38">
        <f t="shared" si="41"/>
        <v>8904</v>
      </c>
      <c r="Q96" s="39">
        <f t="shared" si="42"/>
        <v>594</v>
      </c>
      <c r="R96" s="39">
        <f t="shared" si="51"/>
        <v>175</v>
      </c>
      <c r="S96" s="39">
        <f t="shared" si="43"/>
        <v>67</v>
      </c>
      <c r="T96" s="39"/>
      <c r="U96" s="6"/>
      <c r="V96" s="8"/>
      <c r="W96" s="8"/>
      <c r="X96" s="6"/>
      <c r="Y96" s="39">
        <f t="shared" si="44"/>
        <v>836</v>
      </c>
      <c r="Z96" s="40">
        <f t="shared" si="45"/>
        <v>8068</v>
      </c>
      <c r="AA96" s="10">
        <v>500</v>
      </c>
      <c r="AB96" s="40">
        <f t="shared" si="46"/>
        <v>7568</v>
      </c>
      <c r="AC96" s="48">
        <f t="shared" si="47"/>
        <v>-7539</v>
      </c>
      <c r="AD96" s="42" t="e">
        <f>VLOOKUP(D96,#REF!,2,0)</f>
        <v>#REF!</v>
      </c>
      <c r="AE96" s="46"/>
      <c r="AF96" s="46"/>
      <c r="AI96" s="6" t="s">
        <v>158</v>
      </c>
      <c r="AJ96" s="42" t="b">
        <f t="shared" si="34"/>
        <v>0</v>
      </c>
      <c r="AK96" s="6">
        <v>172</v>
      </c>
      <c r="AL96" s="6">
        <v>84</v>
      </c>
      <c r="AM96" s="6"/>
      <c r="AO96" s="70">
        <v>3315008810</v>
      </c>
      <c r="AP96" s="42" t="b">
        <f t="shared" si="50"/>
        <v>0</v>
      </c>
      <c r="AR96" s="201">
        <f t="shared" si="52"/>
        <v>15</v>
      </c>
      <c r="AS96" s="201">
        <f t="shared" si="53"/>
        <v>10</v>
      </c>
      <c r="AT96" s="42">
        <v>5</v>
      </c>
    </row>
    <row r="97" spans="1:46">
      <c r="A97" s="35">
        <v>87</v>
      </c>
      <c r="B97" s="79" t="s">
        <v>397</v>
      </c>
      <c r="C97" s="76">
        <v>3318330920</v>
      </c>
      <c r="D97" s="71" t="s">
        <v>397</v>
      </c>
      <c r="E97" s="6">
        <v>25</v>
      </c>
      <c r="F97" s="36">
        <v>636</v>
      </c>
      <c r="G97" s="85">
        <v>9</v>
      </c>
      <c r="H97" s="9">
        <v>5</v>
      </c>
      <c r="I97" s="37">
        <f>+G97+H97</f>
        <v>14</v>
      </c>
      <c r="J97" s="38">
        <f>ROUND(G97*F97,0)</f>
        <v>5724</v>
      </c>
      <c r="K97" s="38">
        <f>ROUND(F97*H97,0)</f>
        <v>3180</v>
      </c>
      <c r="L97" s="38">
        <f t="shared" si="49"/>
        <v>8904</v>
      </c>
      <c r="M97" s="38">
        <f>ROUND($M$4*G97,0)</f>
        <v>4950</v>
      </c>
      <c r="N97" s="39">
        <f t="shared" si="39"/>
        <v>248</v>
      </c>
      <c r="O97" s="38">
        <f>L97-M97-N97</f>
        <v>3706</v>
      </c>
      <c r="P97" s="38">
        <f>O97+N97+M97</f>
        <v>8904</v>
      </c>
      <c r="Q97" s="39">
        <f>ROUND(M97*12%,0)</f>
        <v>594</v>
      </c>
      <c r="R97" s="39">
        <f t="shared" si="51"/>
        <v>175</v>
      </c>
      <c r="S97" s="39">
        <f>ROUND(P97*0.75%,0)</f>
        <v>67</v>
      </c>
      <c r="T97" s="39"/>
      <c r="U97" s="6"/>
      <c r="V97" s="8"/>
      <c r="W97" s="8"/>
      <c r="X97" s="6"/>
      <c r="Y97" s="39">
        <f>SUM(Q97:X97)</f>
        <v>836</v>
      </c>
      <c r="Z97" s="40">
        <f>P97-Y97</f>
        <v>8068</v>
      </c>
      <c r="AA97" s="10">
        <v>500</v>
      </c>
      <c r="AB97" s="40">
        <f>Z97-AA97</f>
        <v>7568</v>
      </c>
      <c r="AC97" s="43"/>
      <c r="AE97" s="46"/>
      <c r="AF97" s="46"/>
      <c r="AI97" s="1"/>
      <c r="AK97" s="1"/>
      <c r="AL97" s="1"/>
      <c r="AM97" s="1"/>
      <c r="AO97" s="75"/>
      <c r="AR97" s="201">
        <f t="shared" si="52"/>
        <v>11</v>
      </c>
      <c r="AS97" s="201">
        <f t="shared" si="53"/>
        <v>6</v>
      </c>
      <c r="AT97" s="42">
        <v>5</v>
      </c>
    </row>
    <row r="98" spans="1:46">
      <c r="A98" s="35">
        <v>88</v>
      </c>
      <c r="B98" s="79" t="s">
        <v>398</v>
      </c>
      <c r="C98" s="76">
        <v>3318419564</v>
      </c>
      <c r="D98" s="71" t="s">
        <v>398</v>
      </c>
      <c r="E98" s="6">
        <v>25</v>
      </c>
      <c r="F98" s="36">
        <v>636</v>
      </c>
      <c r="G98" s="85">
        <v>8</v>
      </c>
      <c r="H98" s="9">
        <v>5</v>
      </c>
      <c r="I98" s="37">
        <f t="shared" si="35"/>
        <v>13</v>
      </c>
      <c r="J98" s="38">
        <f t="shared" si="36"/>
        <v>5088</v>
      </c>
      <c r="K98" s="38">
        <f t="shared" si="37"/>
        <v>3180</v>
      </c>
      <c r="L98" s="38">
        <f t="shared" si="49"/>
        <v>8268</v>
      </c>
      <c r="M98" s="38">
        <f t="shared" si="38"/>
        <v>4400</v>
      </c>
      <c r="N98" s="39">
        <f t="shared" si="39"/>
        <v>220</v>
      </c>
      <c r="O98" s="38">
        <f t="shared" si="40"/>
        <v>3648</v>
      </c>
      <c r="P98" s="38">
        <f t="shared" si="41"/>
        <v>8268</v>
      </c>
      <c r="Q98" s="39">
        <f t="shared" si="42"/>
        <v>528</v>
      </c>
      <c r="R98" s="39">
        <f t="shared" si="51"/>
        <v>175</v>
      </c>
      <c r="S98" s="39">
        <f t="shared" si="43"/>
        <v>62</v>
      </c>
      <c r="T98" s="39"/>
      <c r="U98" s="6"/>
      <c r="V98" s="8"/>
      <c r="W98" s="6"/>
      <c r="X98" s="6"/>
      <c r="Y98" s="39">
        <f t="shared" si="44"/>
        <v>765</v>
      </c>
      <c r="Z98" s="40">
        <f t="shared" si="45"/>
        <v>7503</v>
      </c>
      <c r="AA98" s="10">
        <v>500</v>
      </c>
      <c r="AB98" s="40">
        <f t="shared" si="46"/>
        <v>7003</v>
      </c>
      <c r="AE98" s="46"/>
      <c r="AF98" s="46"/>
      <c r="AI98" s="49"/>
      <c r="AJ98" s="49"/>
      <c r="AK98" s="49"/>
      <c r="AL98" s="49"/>
      <c r="AM98" s="49"/>
      <c r="AO98" s="74"/>
      <c r="AR98" s="201">
        <f t="shared" si="52"/>
        <v>12</v>
      </c>
      <c r="AS98" s="201">
        <f t="shared" si="53"/>
        <v>7</v>
      </c>
      <c r="AT98" s="42">
        <v>5</v>
      </c>
    </row>
    <row r="99" spans="1:46">
      <c r="A99" s="35">
        <v>89</v>
      </c>
      <c r="B99" s="79" t="s">
        <v>399</v>
      </c>
      <c r="C99" s="76">
        <v>3318432596</v>
      </c>
      <c r="D99" s="71" t="s">
        <v>399</v>
      </c>
      <c r="E99" s="6">
        <v>15.5</v>
      </c>
      <c r="F99" s="36">
        <v>636</v>
      </c>
      <c r="G99" s="85">
        <v>3.5</v>
      </c>
      <c r="H99" s="9">
        <v>5</v>
      </c>
      <c r="I99" s="37">
        <f t="shared" si="35"/>
        <v>8.5</v>
      </c>
      <c r="J99" s="38">
        <f t="shared" si="36"/>
        <v>2226</v>
      </c>
      <c r="K99" s="38">
        <f t="shared" si="37"/>
        <v>3180</v>
      </c>
      <c r="L99" s="38">
        <f t="shared" si="49"/>
        <v>5406</v>
      </c>
      <c r="M99" s="38">
        <f t="shared" si="38"/>
        <v>1925</v>
      </c>
      <c r="N99" s="39">
        <f t="shared" si="39"/>
        <v>96</v>
      </c>
      <c r="O99" s="38">
        <f t="shared" si="40"/>
        <v>3385</v>
      </c>
      <c r="P99" s="38">
        <f t="shared" si="41"/>
        <v>5406</v>
      </c>
      <c r="Q99" s="39">
        <f t="shared" si="42"/>
        <v>231</v>
      </c>
      <c r="R99" s="39">
        <f t="shared" si="51"/>
        <v>0</v>
      </c>
      <c r="S99" s="39">
        <f t="shared" si="43"/>
        <v>41</v>
      </c>
      <c r="T99" s="39"/>
      <c r="U99" s="6"/>
      <c r="V99" s="8"/>
      <c r="W99" s="8"/>
      <c r="X99" s="6"/>
      <c r="Y99" s="39">
        <f t="shared" si="44"/>
        <v>272</v>
      </c>
      <c r="Z99" s="40">
        <f t="shared" si="45"/>
        <v>5134</v>
      </c>
      <c r="AA99" s="10">
        <v>500</v>
      </c>
      <c r="AB99" s="40">
        <f t="shared" si="46"/>
        <v>4634</v>
      </c>
      <c r="AC99" s="41">
        <f>E99-AB99</f>
        <v>-4618.5</v>
      </c>
      <c r="AD99" s="42" t="e">
        <f>VLOOKUP(D99,#REF!,2,0)</f>
        <v>#REF!</v>
      </c>
      <c r="AE99" s="46"/>
      <c r="AF99" s="46"/>
      <c r="AI99" s="6" t="s">
        <v>159</v>
      </c>
      <c r="AJ99" s="42" t="b">
        <f>D99=AI99</f>
        <v>0</v>
      </c>
      <c r="AK99" s="6"/>
      <c r="AL99" s="6"/>
      <c r="AM99" s="6"/>
      <c r="AO99" s="76">
        <v>3317141751</v>
      </c>
      <c r="AP99" s="42" t="b">
        <f>AO99=C99</f>
        <v>0</v>
      </c>
      <c r="AR99" s="201">
        <f t="shared" si="52"/>
        <v>7</v>
      </c>
      <c r="AS99" s="201">
        <f t="shared" si="53"/>
        <v>2</v>
      </c>
      <c r="AT99" s="42">
        <v>5</v>
      </c>
    </row>
    <row r="100" spans="1:46">
      <c r="A100" s="35">
        <v>90</v>
      </c>
      <c r="B100" s="96" t="s">
        <v>418</v>
      </c>
      <c r="C100" s="76">
        <v>3318521292</v>
      </c>
      <c r="D100" s="99" t="s">
        <v>418</v>
      </c>
      <c r="E100" s="6">
        <v>27</v>
      </c>
      <c r="F100" s="36">
        <v>636</v>
      </c>
      <c r="G100" s="85">
        <v>11</v>
      </c>
      <c r="H100" s="9">
        <v>5</v>
      </c>
      <c r="I100" s="37">
        <f t="shared" si="35"/>
        <v>16</v>
      </c>
      <c r="J100" s="38">
        <f t="shared" si="36"/>
        <v>6996</v>
      </c>
      <c r="K100" s="38">
        <f t="shared" si="37"/>
        <v>3180</v>
      </c>
      <c r="L100" s="38">
        <f t="shared" si="49"/>
        <v>10176</v>
      </c>
      <c r="M100" s="38">
        <f t="shared" si="38"/>
        <v>6050</v>
      </c>
      <c r="N100" s="39">
        <f t="shared" si="39"/>
        <v>303</v>
      </c>
      <c r="O100" s="38">
        <f t="shared" si="40"/>
        <v>3823</v>
      </c>
      <c r="P100" s="38">
        <f t="shared" si="41"/>
        <v>10176</v>
      </c>
      <c r="Q100" s="39">
        <f t="shared" si="42"/>
        <v>726</v>
      </c>
      <c r="R100" s="39">
        <f t="shared" si="51"/>
        <v>200</v>
      </c>
      <c r="S100" s="39">
        <f t="shared" si="43"/>
        <v>76</v>
      </c>
      <c r="T100" s="39"/>
      <c r="U100" s="6"/>
      <c r="V100" s="8"/>
      <c r="W100" s="8"/>
      <c r="X100" s="6"/>
      <c r="Y100" s="39">
        <f t="shared" si="44"/>
        <v>1002</v>
      </c>
      <c r="Z100" s="40">
        <f t="shared" si="45"/>
        <v>9174</v>
      </c>
      <c r="AA100" s="10">
        <v>500</v>
      </c>
      <c r="AB100" s="40">
        <f t="shared" si="46"/>
        <v>8674</v>
      </c>
      <c r="AC100" s="41">
        <f>E100-AB100</f>
        <v>-8647</v>
      </c>
      <c r="AD100" s="42" t="e">
        <f>VLOOKUP(D100,#REF!,2,0)</f>
        <v>#REF!</v>
      </c>
      <c r="AE100" s="46"/>
      <c r="AF100" s="46"/>
      <c r="AI100" s="5" t="s">
        <v>162</v>
      </c>
      <c r="AJ100" s="42" t="b">
        <f>D100=AI100</f>
        <v>0</v>
      </c>
      <c r="AK100" s="5">
        <v>114</v>
      </c>
      <c r="AL100" s="5">
        <v>50</v>
      </c>
      <c r="AM100" s="5"/>
      <c r="AO100" s="72">
        <v>3317308284</v>
      </c>
      <c r="AP100" s="42" t="b">
        <f>AO100=C100</f>
        <v>0</v>
      </c>
      <c r="AR100" s="201">
        <f t="shared" si="52"/>
        <v>11</v>
      </c>
      <c r="AS100" s="201">
        <f t="shared" si="53"/>
        <v>6</v>
      </c>
      <c r="AT100" s="42">
        <v>5</v>
      </c>
    </row>
    <row r="101" spans="1:46">
      <c r="A101" s="35">
        <v>91</v>
      </c>
      <c r="B101" s="110" t="s">
        <v>419</v>
      </c>
      <c r="C101" s="111">
        <v>3318460591</v>
      </c>
      <c r="D101" s="99" t="s">
        <v>419</v>
      </c>
      <c r="E101" s="6">
        <v>12</v>
      </c>
      <c r="F101" s="36">
        <v>636</v>
      </c>
      <c r="G101" s="85">
        <v>1</v>
      </c>
      <c r="H101" s="9">
        <v>5</v>
      </c>
      <c r="I101" s="37">
        <f t="shared" si="35"/>
        <v>6</v>
      </c>
      <c r="J101" s="38">
        <f t="shared" si="36"/>
        <v>636</v>
      </c>
      <c r="K101" s="38">
        <f t="shared" si="37"/>
        <v>3180</v>
      </c>
      <c r="L101" s="38">
        <f t="shared" si="49"/>
        <v>3816</v>
      </c>
      <c r="M101" s="38">
        <f t="shared" si="38"/>
        <v>550</v>
      </c>
      <c r="N101" s="39">
        <f t="shared" si="39"/>
        <v>28</v>
      </c>
      <c r="O101" s="38">
        <f t="shared" si="40"/>
        <v>3238</v>
      </c>
      <c r="P101" s="38">
        <f t="shared" si="41"/>
        <v>3816</v>
      </c>
      <c r="Q101" s="39">
        <f t="shared" si="42"/>
        <v>66</v>
      </c>
      <c r="R101" s="39">
        <f t="shared" si="51"/>
        <v>0</v>
      </c>
      <c r="S101" s="39">
        <f t="shared" si="43"/>
        <v>29</v>
      </c>
      <c r="T101" s="39"/>
      <c r="U101" s="6"/>
      <c r="V101" s="8"/>
      <c r="W101" s="8"/>
      <c r="X101" s="6"/>
      <c r="Y101" s="39">
        <f t="shared" si="44"/>
        <v>95</v>
      </c>
      <c r="Z101" s="40">
        <f t="shared" si="45"/>
        <v>3721</v>
      </c>
      <c r="AA101" s="10">
        <v>500</v>
      </c>
      <c r="AB101" s="40">
        <f t="shared" si="46"/>
        <v>3221</v>
      </c>
      <c r="AC101" s="48">
        <f>E101-AB101</f>
        <v>-3209</v>
      </c>
      <c r="AD101" s="42" t="e">
        <f>VLOOKUP(D101,#REF!,2,0)</f>
        <v>#REF!</v>
      </c>
      <c r="AE101" s="46"/>
      <c r="AF101" s="46"/>
      <c r="AI101" s="6" t="s">
        <v>158</v>
      </c>
      <c r="AJ101" s="42" t="b">
        <f>D101=AI101</f>
        <v>0</v>
      </c>
      <c r="AK101" s="6">
        <v>172</v>
      </c>
      <c r="AL101" s="6">
        <v>84</v>
      </c>
      <c r="AM101" s="6"/>
      <c r="AO101" s="70">
        <v>3315008810</v>
      </c>
      <c r="AP101" s="42" t="b">
        <f>AO101=C101</f>
        <v>0</v>
      </c>
      <c r="AR101" s="201">
        <f t="shared" si="52"/>
        <v>6</v>
      </c>
      <c r="AS101" s="201">
        <f t="shared" si="53"/>
        <v>1</v>
      </c>
      <c r="AT101" s="42">
        <v>5</v>
      </c>
    </row>
    <row r="102" spans="1:46" ht="14.4">
      <c r="A102" s="35">
        <v>92</v>
      </c>
      <c r="B102" s="112" t="s">
        <v>402</v>
      </c>
      <c r="C102" s="96">
        <v>3318468493</v>
      </c>
      <c r="D102" s="99" t="s">
        <v>402</v>
      </c>
      <c r="E102" s="6">
        <v>0</v>
      </c>
      <c r="F102" s="36">
        <v>636</v>
      </c>
      <c r="G102" s="85">
        <v>0</v>
      </c>
      <c r="H102" s="9"/>
      <c r="I102" s="37">
        <f t="shared" si="35"/>
        <v>0</v>
      </c>
      <c r="J102" s="38">
        <f t="shared" si="36"/>
        <v>0</v>
      </c>
      <c r="K102" s="38">
        <f t="shared" si="37"/>
        <v>0</v>
      </c>
      <c r="L102" s="38">
        <f t="shared" si="49"/>
        <v>0</v>
      </c>
      <c r="M102" s="38">
        <f t="shared" si="38"/>
        <v>0</v>
      </c>
      <c r="N102" s="39">
        <f t="shared" si="39"/>
        <v>0</v>
      </c>
      <c r="O102" s="38">
        <f t="shared" si="40"/>
        <v>0</v>
      </c>
      <c r="P102" s="38">
        <f t="shared" si="41"/>
        <v>0</v>
      </c>
      <c r="Q102" s="39">
        <f t="shared" si="42"/>
        <v>0</v>
      </c>
      <c r="R102" s="39">
        <f t="shared" si="51"/>
        <v>0</v>
      </c>
      <c r="S102" s="39">
        <f t="shared" si="43"/>
        <v>0</v>
      </c>
      <c r="T102" s="39"/>
      <c r="U102" s="6"/>
      <c r="V102" s="8"/>
      <c r="W102" s="8"/>
      <c r="X102" s="6"/>
      <c r="Y102" s="39">
        <f t="shared" si="44"/>
        <v>0</v>
      </c>
      <c r="Z102" s="40">
        <f t="shared" si="45"/>
        <v>0</v>
      </c>
      <c r="AA102" s="10">
        <v>500</v>
      </c>
      <c r="AB102" s="40">
        <f t="shared" si="46"/>
        <v>-500</v>
      </c>
      <c r="AC102" s="43"/>
      <c r="AE102" s="46"/>
      <c r="AF102" s="46"/>
      <c r="AI102" s="1"/>
      <c r="AK102" s="1"/>
      <c r="AL102" s="1"/>
      <c r="AM102" s="1"/>
      <c r="AO102" s="75"/>
      <c r="AR102" s="201">
        <f t="shared" si="52"/>
        <v>0</v>
      </c>
      <c r="AS102" s="201">
        <f t="shared" si="53"/>
        <v>-5</v>
      </c>
      <c r="AT102" s="42">
        <v>5</v>
      </c>
    </row>
    <row r="103" spans="1:46">
      <c r="A103" s="35">
        <v>93</v>
      </c>
      <c r="B103" s="96" t="s">
        <v>401</v>
      </c>
      <c r="C103" s="96">
        <v>3318468570</v>
      </c>
      <c r="D103" s="101" t="s">
        <v>401</v>
      </c>
      <c r="E103" s="6">
        <v>24.5</v>
      </c>
      <c r="F103" s="36">
        <v>636</v>
      </c>
      <c r="G103" s="85">
        <v>9.5</v>
      </c>
      <c r="H103" s="9">
        <v>5</v>
      </c>
      <c r="I103" s="37">
        <f t="shared" si="35"/>
        <v>14.5</v>
      </c>
      <c r="J103" s="38">
        <f t="shared" si="36"/>
        <v>6042</v>
      </c>
      <c r="K103" s="38">
        <f t="shared" si="37"/>
        <v>3180</v>
      </c>
      <c r="L103" s="38">
        <f t="shared" si="49"/>
        <v>9222</v>
      </c>
      <c r="M103" s="38">
        <f t="shared" si="38"/>
        <v>5225</v>
      </c>
      <c r="N103" s="39">
        <f t="shared" si="39"/>
        <v>261</v>
      </c>
      <c r="O103" s="38">
        <f t="shared" si="40"/>
        <v>3736</v>
      </c>
      <c r="P103" s="38">
        <f t="shared" si="41"/>
        <v>9222</v>
      </c>
      <c r="Q103" s="39">
        <f t="shared" si="42"/>
        <v>627</v>
      </c>
      <c r="R103" s="39">
        <f t="shared" si="51"/>
        <v>175</v>
      </c>
      <c r="S103" s="39">
        <f t="shared" si="43"/>
        <v>69</v>
      </c>
      <c r="T103" s="39"/>
      <c r="U103" s="6"/>
      <c r="V103" s="8"/>
      <c r="W103" s="6"/>
      <c r="X103" s="6"/>
      <c r="Y103" s="39">
        <f t="shared" si="44"/>
        <v>871</v>
      </c>
      <c r="Z103" s="40">
        <f t="shared" si="45"/>
        <v>8351</v>
      </c>
      <c r="AA103" s="10">
        <v>500</v>
      </c>
      <c r="AB103" s="40">
        <f t="shared" si="46"/>
        <v>7851</v>
      </c>
      <c r="AE103" s="46"/>
      <c r="AF103" s="46"/>
      <c r="AI103" s="49"/>
      <c r="AJ103" s="49"/>
      <c r="AK103" s="49"/>
      <c r="AL103" s="49"/>
      <c r="AM103" s="49"/>
      <c r="AO103" s="74"/>
      <c r="AR103" s="201">
        <f t="shared" si="52"/>
        <v>10</v>
      </c>
      <c r="AS103" s="201">
        <f t="shared" si="53"/>
        <v>5</v>
      </c>
      <c r="AT103" s="42">
        <v>5</v>
      </c>
    </row>
    <row r="104" spans="1:46">
      <c r="A104" s="35">
        <v>94</v>
      </c>
      <c r="B104" s="122" t="s">
        <v>421</v>
      </c>
      <c r="C104" s="76">
        <v>3318521941</v>
      </c>
      <c r="D104" s="99" t="s">
        <v>421</v>
      </c>
      <c r="E104" s="6">
        <v>18.5</v>
      </c>
      <c r="F104" s="36">
        <v>636</v>
      </c>
      <c r="G104" s="85">
        <v>3.5</v>
      </c>
      <c r="H104" s="9">
        <v>5</v>
      </c>
      <c r="I104" s="37">
        <f>+G104+H104</f>
        <v>8.5</v>
      </c>
      <c r="J104" s="38">
        <f>ROUND(G104*F104,0)</f>
        <v>2226</v>
      </c>
      <c r="K104" s="38">
        <f>ROUND(F104*H104,0)</f>
        <v>3180</v>
      </c>
      <c r="L104" s="38">
        <f t="shared" si="49"/>
        <v>5406</v>
      </c>
      <c r="M104" s="38">
        <f>ROUND($M$4*G104,0)</f>
        <v>1925</v>
      </c>
      <c r="N104" s="39">
        <f t="shared" si="39"/>
        <v>96</v>
      </c>
      <c r="O104" s="38">
        <f>L104-M104-N104</f>
        <v>3385</v>
      </c>
      <c r="P104" s="38">
        <f>O104+N104+M104</f>
        <v>5406</v>
      </c>
      <c r="Q104" s="39">
        <f>ROUND(M104*12%,0)</f>
        <v>231</v>
      </c>
      <c r="R104" s="39">
        <f t="shared" si="51"/>
        <v>0</v>
      </c>
      <c r="S104" s="39">
        <f>ROUND(P104*0.75%,0)</f>
        <v>41</v>
      </c>
      <c r="T104" s="39"/>
      <c r="U104" s="6"/>
      <c r="V104" s="8"/>
      <c r="W104" s="8"/>
      <c r="X104" s="6"/>
      <c r="Y104" s="39">
        <f>SUM(Q104:X104)</f>
        <v>272</v>
      </c>
      <c r="Z104" s="40">
        <f>P104-Y104</f>
        <v>5134</v>
      </c>
      <c r="AA104" s="10">
        <v>500</v>
      </c>
      <c r="AB104" s="40">
        <f>Z104-AA104</f>
        <v>4634</v>
      </c>
      <c r="AC104" s="41">
        <f>E104-AB104</f>
        <v>-4615.5</v>
      </c>
      <c r="AD104" s="42" t="e">
        <f>VLOOKUP(D104,#REF!,2,0)</f>
        <v>#REF!</v>
      </c>
      <c r="AE104" s="46"/>
      <c r="AF104" s="46"/>
      <c r="AI104" s="5" t="s">
        <v>162</v>
      </c>
      <c r="AJ104" s="42" t="b">
        <f>D104=AI104</f>
        <v>0</v>
      </c>
      <c r="AK104" s="5">
        <v>114</v>
      </c>
      <c r="AL104" s="5">
        <v>50</v>
      </c>
      <c r="AM104" s="5"/>
      <c r="AO104" s="72">
        <v>3317308284</v>
      </c>
      <c r="AP104" s="42" t="b">
        <f>AO104=C104</f>
        <v>0</v>
      </c>
      <c r="AR104" s="201">
        <f t="shared" si="52"/>
        <v>10</v>
      </c>
      <c r="AS104" s="201">
        <f t="shared" si="53"/>
        <v>5</v>
      </c>
      <c r="AT104" s="42">
        <v>5</v>
      </c>
    </row>
    <row r="105" spans="1:46">
      <c r="A105" s="35">
        <v>95</v>
      </c>
      <c r="B105" s="122" t="s">
        <v>422</v>
      </c>
      <c r="C105" s="76">
        <v>3318522002</v>
      </c>
      <c r="D105" s="99" t="s">
        <v>422</v>
      </c>
      <c r="E105" s="6">
        <v>0</v>
      </c>
      <c r="F105" s="36">
        <v>636</v>
      </c>
      <c r="G105" s="85">
        <v>0</v>
      </c>
      <c r="H105" s="9"/>
      <c r="I105" s="37">
        <f>+G105+H105</f>
        <v>0</v>
      </c>
      <c r="J105" s="38">
        <f>ROUND(G105*F105,0)</f>
        <v>0</v>
      </c>
      <c r="K105" s="38">
        <f>ROUND(F105*H105,0)</f>
        <v>0</v>
      </c>
      <c r="L105" s="38">
        <f t="shared" si="49"/>
        <v>0</v>
      </c>
      <c r="M105" s="38">
        <f>ROUND($M$4*G105,0)</f>
        <v>0</v>
      </c>
      <c r="N105" s="39">
        <f t="shared" si="39"/>
        <v>0</v>
      </c>
      <c r="O105" s="38">
        <f>L105-M105-N105</f>
        <v>0</v>
      </c>
      <c r="P105" s="38">
        <f>O105+N105+M105</f>
        <v>0</v>
      </c>
      <c r="Q105" s="39">
        <f>ROUND(M105*12%,0)</f>
        <v>0</v>
      </c>
      <c r="R105" s="39">
        <f t="shared" si="51"/>
        <v>0</v>
      </c>
      <c r="S105" s="39">
        <f>ROUND(P105*0.75%,0)</f>
        <v>0</v>
      </c>
      <c r="T105" s="39"/>
      <c r="U105" s="6"/>
      <c r="V105" s="8"/>
      <c r="W105" s="8"/>
      <c r="X105" s="6"/>
      <c r="Y105" s="39">
        <f>SUM(Q105:X105)</f>
        <v>0</v>
      </c>
      <c r="Z105" s="40">
        <f>P105-Y105</f>
        <v>0</v>
      </c>
      <c r="AA105" s="10">
        <v>500</v>
      </c>
      <c r="AB105" s="40">
        <f>Z105-AA105</f>
        <v>-500</v>
      </c>
      <c r="AC105" s="48">
        <f>E105-AB105</f>
        <v>500</v>
      </c>
      <c r="AD105" s="42" t="e">
        <f>VLOOKUP(D105,#REF!,2,0)</f>
        <v>#REF!</v>
      </c>
      <c r="AE105" s="46"/>
      <c r="AF105" s="46"/>
      <c r="AI105" s="6" t="s">
        <v>158</v>
      </c>
      <c r="AJ105" s="42" t="b">
        <f>D105=AI105</f>
        <v>0</v>
      </c>
      <c r="AK105" s="6">
        <v>172</v>
      </c>
      <c r="AL105" s="6">
        <v>84</v>
      </c>
      <c r="AM105" s="6"/>
      <c r="AO105" s="70">
        <v>3315008810</v>
      </c>
      <c r="AP105" s="42" t="b">
        <f>AO105=C105</f>
        <v>0</v>
      </c>
      <c r="AR105" s="201">
        <f t="shared" si="52"/>
        <v>0</v>
      </c>
      <c r="AS105" s="201">
        <f t="shared" si="53"/>
        <v>-5</v>
      </c>
      <c r="AT105" s="42">
        <v>5</v>
      </c>
    </row>
    <row r="106" spans="1:46">
      <c r="A106" s="35">
        <v>96</v>
      </c>
      <c r="B106" s="122">
        <v>101811097763</v>
      </c>
      <c r="C106" s="76">
        <v>3318529726</v>
      </c>
      <c r="D106" s="99" t="s">
        <v>423</v>
      </c>
      <c r="E106" s="6">
        <v>9</v>
      </c>
      <c r="F106" s="36">
        <v>636</v>
      </c>
      <c r="G106" s="86">
        <v>2</v>
      </c>
      <c r="H106" s="9">
        <v>2</v>
      </c>
      <c r="I106" s="37">
        <f>+G106+H106</f>
        <v>4</v>
      </c>
      <c r="J106" s="38">
        <f>ROUND(G106*F106,0)</f>
        <v>1272</v>
      </c>
      <c r="K106" s="38">
        <f>ROUND(F106*H106,0)</f>
        <v>1272</v>
      </c>
      <c r="L106" s="38">
        <f t="shared" si="49"/>
        <v>2544</v>
      </c>
      <c r="M106" s="38">
        <f>ROUND($M$4*G106,0)</f>
        <v>1100</v>
      </c>
      <c r="N106" s="39">
        <f t="shared" si="39"/>
        <v>55</v>
      </c>
      <c r="O106" s="38">
        <f>L106-M106-N106</f>
        <v>1389</v>
      </c>
      <c r="P106" s="38">
        <f>O106+N106+M106</f>
        <v>2544</v>
      </c>
      <c r="Q106" s="39">
        <f>ROUND(M106*12%,0)</f>
        <v>132</v>
      </c>
      <c r="R106" s="39">
        <f t="shared" si="51"/>
        <v>0</v>
      </c>
      <c r="S106" s="39">
        <f>ROUND(P106*0.75%,0)</f>
        <v>19</v>
      </c>
      <c r="T106" s="39"/>
      <c r="U106" s="6"/>
      <c r="V106" s="8"/>
      <c r="W106" s="8"/>
      <c r="X106" s="6"/>
      <c r="Y106" s="39">
        <f>SUM(Q106:X106)</f>
        <v>151</v>
      </c>
      <c r="Z106" s="40">
        <f>P106-Y106</f>
        <v>2393</v>
      </c>
      <c r="AA106" s="10">
        <v>500</v>
      </c>
      <c r="AB106" s="40">
        <f>Z106-AA106</f>
        <v>1893</v>
      </c>
      <c r="AC106" s="43"/>
      <c r="AE106" s="46"/>
      <c r="AF106" s="46"/>
      <c r="AI106" s="1"/>
      <c r="AK106" s="1"/>
      <c r="AL106" s="1"/>
      <c r="AM106" s="1"/>
      <c r="AO106" s="75"/>
      <c r="AR106" s="201">
        <f t="shared" si="52"/>
        <v>5</v>
      </c>
      <c r="AS106" s="201">
        <f t="shared" si="53"/>
        <v>0</v>
      </c>
      <c r="AT106" s="42">
        <v>5</v>
      </c>
    </row>
    <row r="107" spans="1:46">
      <c r="A107" s="35">
        <v>97</v>
      </c>
      <c r="B107" s="122" t="s">
        <v>427</v>
      </c>
      <c r="C107" s="76"/>
      <c r="D107" s="99" t="s">
        <v>427</v>
      </c>
      <c r="E107" s="6">
        <v>17</v>
      </c>
      <c r="F107" s="36">
        <v>636</v>
      </c>
      <c r="G107" s="85">
        <v>1</v>
      </c>
      <c r="H107" s="9">
        <v>5</v>
      </c>
      <c r="I107" s="37">
        <f t="shared" ref="I107:I123" si="54">+G107+H107</f>
        <v>6</v>
      </c>
      <c r="J107" s="38">
        <f t="shared" ref="J107:J123" si="55">ROUND(G107*F107,0)</f>
        <v>636</v>
      </c>
      <c r="K107" s="38">
        <f t="shared" ref="K107:K123" si="56">ROUND(F107*H107,0)</f>
        <v>3180</v>
      </c>
      <c r="L107" s="38">
        <f t="shared" si="49"/>
        <v>3816</v>
      </c>
      <c r="M107" s="38">
        <f t="shared" ref="M107:M123" si="57">ROUND($M$4*G107,0)</f>
        <v>550</v>
      </c>
      <c r="N107" s="39">
        <f t="shared" si="39"/>
        <v>28</v>
      </c>
      <c r="O107" s="38">
        <f t="shared" ref="O107:O123" si="58">L107-M107-N107</f>
        <v>3238</v>
      </c>
      <c r="P107" s="38">
        <f t="shared" ref="P107:P123" si="59">O107+N107+M107</f>
        <v>3816</v>
      </c>
      <c r="Q107" s="39">
        <f t="shared" ref="Q107:Q123" si="60">ROUND(M107*12%,0)</f>
        <v>66</v>
      </c>
      <c r="R107" s="39">
        <f t="shared" si="51"/>
        <v>0</v>
      </c>
      <c r="S107" s="39">
        <f t="shared" ref="S107:S123" si="61">ROUND(P107*0.75%,0)</f>
        <v>29</v>
      </c>
      <c r="T107" s="39"/>
      <c r="U107" s="6"/>
      <c r="V107" s="8"/>
      <c r="W107" s="6"/>
      <c r="X107" s="6"/>
      <c r="Y107" s="39">
        <f t="shared" ref="Y107:Y123" si="62">SUM(Q107:X107)</f>
        <v>95</v>
      </c>
      <c r="Z107" s="40">
        <f t="shared" ref="Z107:Z123" si="63">P107-Y107</f>
        <v>3721</v>
      </c>
      <c r="AA107" s="10">
        <v>500</v>
      </c>
      <c r="AB107" s="40">
        <f t="shared" ref="AB107:AB123" si="64">Z107-AA107</f>
        <v>3221</v>
      </c>
      <c r="AE107" s="46"/>
      <c r="AF107" s="46"/>
      <c r="AI107" s="49"/>
      <c r="AJ107" s="49"/>
      <c r="AK107" s="49"/>
      <c r="AL107" s="49"/>
      <c r="AM107" s="49"/>
      <c r="AO107" s="74"/>
      <c r="AR107" s="201">
        <f t="shared" si="52"/>
        <v>11</v>
      </c>
      <c r="AS107" s="201">
        <f t="shared" si="53"/>
        <v>6</v>
      </c>
      <c r="AT107" s="42">
        <v>5</v>
      </c>
    </row>
    <row r="108" spans="1:46">
      <c r="A108" s="35">
        <v>99</v>
      </c>
      <c r="B108" s="123" t="s">
        <v>428</v>
      </c>
      <c r="C108" s="111"/>
      <c r="D108" s="99" t="s">
        <v>428</v>
      </c>
      <c r="E108" s="6">
        <v>1</v>
      </c>
      <c r="F108" s="36">
        <v>636</v>
      </c>
      <c r="G108" s="85">
        <v>0</v>
      </c>
      <c r="H108" s="9">
        <v>0</v>
      </c>
      <c r="I108" s="37">
        <f t="shared" si="54"/>
        <v>0</v>
      </c>
      <c r="J108" s="38">
        <f t="shared" si="55"/>
        <v>0</v>
      </c>
      <c r="K108" s="38">
        <f t="shared" si="56"/>
        <v>0</v>
      </c>
      <c r="L108" s="38">
        <f t="shared" si="49"/>
        <v>0</v>
      </c>
      <c r="M108" s="38">
        <f t="shared" si="57"/>
        <v>0</v>
      </c>
      <c r="N108" s="39">
        <f t="shared" si="39"/>
        <v>0</v>
      </c>
      <c r="O108" s="38">
        <f t="shared" si="58"/>
        <v>0</v>
      </c>
      <c r="P108" s="38">
        <f t="shared" si="59"/>
        <v>0</v>
      </c>
      <c r="Q108" s="39">
        <f t="shared" si="60"/>
        <v>0</v>
      </c>
      <c r="R108" s="39">
        <f t="shared" si="51"/>
        <v>0</v>
      </c>
      <c r="S108" s="39">
        <f t="shared" si="61"/>
        <v>0</v>
      </c>
      <c r="T108" s="39"/>
      <c r="U108" s="6"/>
      <c r="V108" s="8"/>
      <c r="W108" s="8"/>
      <c r="X108" s="6"/>
      <c r="Y108" s="39">
        <f t="shared" si="62"/>
        <v>0</v>
      </c>
      <c r="Z108" s="40">
        <f t="shared" si="63"/>
        <v>0</v>
      </c>
      <c r="AA108" s="10">
        <v>500</v>
      </c>
      <c r="AB108" s="40">
        <f t="shared" si="64"/>
        <v>-500</v>
      </c>
      <c r="AC108" s="41">
        <f>E108-AB108</f>
        <v>501</v>
      </c>
      <c r="AD108" s="42" t="e">
        <f>VLOOKUP(D108,#REF!,2,0)</f>
        <v>#REF!</v>
      </c>
      <c r="AE108" s="46"/>
      <c r="AF108" s="46"/>
      <c r="AI108" s="5" t="s">
        <v>162</v>
      </c>
      <c r="AJ108" s="42" t="b">
        <f>D108=AI108</f>
        <v>0</v>
      </c>
      <c r="AK108" s="5">
        <v>114</v>
      </c>
      <c r="AL108" s="5">
        <v>50</v>
      </c>
      <c r="AM108" s="5"/>
      <c r="AO108" s="72">
        <v>3317308284</v>
      </c>
      <c r="AP108" s="42" t="b">
        <f>AO108=C108</f>
        <v>0</v>
      </c>
      <c r="AR108" s="201">
        <f t="shared" si="52"/>
        <v>1</v>
      </c>
      <c r="AS108" s="201">
        <f t="shared" si="53"/>
        <v>-4</v>
      </c>
      <c r="AT108" s="42">
        <v>5</v>
      </c>
    </row>
    <row r="109" spans="1:46">
      <c r="A109" s="35">
        <v>100</v>
      </c>
      <c r="B109" s="122" t="s">
        <v>388</v>
      </c>
      <c r="C109" s="105" t="s">
        <v>388</v>
      </c>
      <c r="D109" s="99" t="s">
        <v>388</v>
      </c>
      <c r="E109" s="6">
        <v>9</v>
      </c>
      <c r="F109" s="36">
        <v>636</v>
      </c>
      <c r="G109" s="86">
        <v>3</v>
      </c>
      <c r="H109" s="9">
        <v>5</v>
      </c>
      <c r="I109" s="37">
        <f t="shared" si="54"/>
        <v>8</v>
      </c>
      <c r="J109" s="38">
        <f t="shared" si="55"/>
        <v>1908</v>
      </c>
      <c r="K109" s="38">
        <f t="shared" si="56"/>
        <v>3180</v>
      </c>
      <c r="L109" s="38">
        <f t="shared" si="49"/>
        <v>5088</v>
      </c>
      <c r="M109" s="38">
        <f t="shared" si="57"/>
        <v>1650</v>
      </c>
      <c r="N109" s="39">
        <f t="shared" si="39"/>
        <v>83</v>
      </c>
      <c r="O109" s="38">
        <f t="shared" si="58"/>
        <v>3355</v>
      </c>
      <c r="P109" s="38">
        <f t="shared" si="59"/>
        <v>5088</v>
      </c>
      <c r="Q109" s="39">
        <f t="shared" si="60"/>
        <v>198</v>
      </c>
      <c r="R109" s="39">
        <f t="shared" si="51"/>
        <v>0</v>
      </c>
      <c r="S109" s="39">
        <f t="shared" si="61"/>
        <v>38</v>
      </c>
      <c r="T109" s="39"/>
      <c r="U109" s="6"/>
      <c r="V109" s="8"/>
      <c r="W109" s="8"/>
      <c r="X109" s="6"/>
      <c r="Y109" s="39">
        <f t="shared" si="62"/>
        <v>236</v>
      </c>
      <c r="Z109" s="40">
        <f t="shared" si="63"/>
        <v>4852</v>
      </c>
      <c r="AA109" s="10">
        <v>500</v>
      </c>
      <c r="AB109" s="40">
        <f t="shared" si="64"/>
        <v>4352</v>
      </c>
      <c r="AC109" s="48">
        <f>E109-AB109</f>
        <v>-4343</v>
      </c>
      <c r="AD109" s="42" t="e">
        <f>VLOOKUP(D109,#REF!,2,0)</f>
        <v>#REF!</v>
      </c>
      <c r="AE109" s="46"/>
      <c r="AF109" s="46"/>
      <c r="AI109" s="6" t="s">
        <v>158</v>
      </c>
      <c r="AJ109" s="42" t="b">
        <f>D109=AI109</f>
        <v>0</v>
      </c>
      <c r="AK109" s="6">
        <v>172</v>
      </c>
      <c r="AL109" s="6">
        <v>84</v>
      </c>
      <c r="AM109" s="6"/>
      <c r="AO109" s="70">
        <v>3315008810</v>
      </c>
      <c r="AP109" s="42" t="b">
        <f>AO109=C109</f>
        <v>0</v>
      </c>
      <c r="AR109" s="201">
        <f t="shared" si="52"/>
        <v>1</v>
      </c>
      <c r="AS109" s="201">
        <f t="shared" si="53"/>
        <v>-4</v>
      </c>
      <c r="AT109" s="42">
        <v>5</v>
      </c>
    </row>
    <row r="110" spans="1:46">
      <c r="A110" s="35">
        <v>101</v>
      </c>
      <c r="B110" s="197" t="s">
        <v>445</v>
      </c>
      <c r="C110" s="103" t="s">
        <v>445</v>
      </c>
      <c r="D110" s="99" t="s">
        <v>445</v>
      </c>
      <c r="E110" s="6">
        <v>22</v>
      </c>
      <c r="F110" s="36">
        <v>636</v>
      </c>
      <c r="G110" s="86">
        <v>5</v>
      </c>
      <c r="H110" s="9">
        <v>5</v>
      </c>
      <c r="I110" s="37">
        <f t="shared" si="54"/>
        <v>10</v>
      </c>
      <c r="J110" s="38">
        <f t="shared" si="55"/>
        <v>3180</v>
      </c>
      <c r="K110" s="38">
        <f t="shared" si="56"/>
        <v>3180</v>
      </c>
      <c r="L110" s="38">
        <f t="shared" si="49"/>
        <v>6360</v>
      </c>
      <c r="M110" s="38">
        <f t="shared" si="57"/>
        <v>2750</v>
      </c>
      <c r="N110" s="39">
        <f t="shared" si="39"/>
        <v>138</v>
      </c>
      <c r="O110" s="38">
        <f t="shared" si="58"/>
        <v>3472</v>
      </c>
      <c r="P110" s="38">
        <f t="shared" si="59"/>
        <v>6360</v>
      </c>
      <c r="Q110" s="39">
        <f t="shared" si="60"/>
        <v>330</v>
      </c>
      <c r="R110" s="39">
        <f t="shared" si="51"/>
        <v>0</v>
      </c>
      <c r="S110" s="39">
        <f t="shared" si="61"/>
        <v>48</v>
      </c>
      <c r="T110" s="39"/>
      <c r="U110" s="6"/>
      <c r="V110" s="8"/>
      <c r="W110" s="8"/>
      <c r="X110" s="6"/>
      <c r="Y110" s="39">
        <f t="shared" si="62"/>
        <v>378</v>
      </c>
      <c r="Z110" s="40">
        <f t="shared" si="63"/>
        <v>5982</v>
      </c>
      <c r="AA110" s="10">
        <v>500</v>
      </c>
      <c r="AB110" s="40">
        <f t="shared" si="64"/>
        <v>5482</v>
      </c>
      <c r="AC110" s="43"/>
      <c r="AE110" s="46"/>
      <c r="AF110" s="46"/>
      <c r="AI110" s="1"/>
      <c r="AK110" s="1"/>
      <c r="AL110" s="1"/>
      <c r="AM110" s="1"/>
      <c r="AO110" s="75"/>
      <c r="AR110" s="201">
        <f t="shared" si="52"/>
        <v>12</v>
      </c>
      <c r="AS110" s="201">
        <f t="shared" si="53"/>
        <v>7</v>
      </c>
      <c r="AT110" s="42">
        <v>5</v>
      </c>
    </row>
    <row r="111" spans="1:46">
      <c r="A111" s="35">
        <v>102</v>
      </c>
      <c r="B111" s="197" t="s">
        <v>446</v>
      </c>
      <c r="C111" s="103" t="s">
        <v>446</v>
      </c>
      <c r="D111" s="99" t="s">
        <v>446</v>
      </c>
      <c r="E111" s="6">
        <v>21</v>
      </c>
      <c r="F111" s="36">
        <v>636</v>
      </c>
      <c r="G111" s="85">
        <v>8</v>
      </c>
      <c r="H111" s="9">
        <v>5</v>
      </c>
      <c r="I111" s="37">
        <f t="shared" si="54"/>
        <v>13</v>
      </c>
      <c r="J111" s="38">
        <f t="shared" si="55"/>
        <v>5088</v>
      </c>
      <c r="K111" s="38">
        <f t="shared" si="56"/>
        <v>3180</v>
      </c>
      <c r="L111" s="38">
        <f t="shared" si="49"/>
        <v>8268</v>
      </c>
      <c r="M111" s="38">
        <f t="shared" si="57"/>
        <v>4400</v>
      </c>
      <c r="N111" s="39">
        <f t="shared" si="39"/>
        <v>220</v>
      </c>
      <c r="O111" s="38">
        <f t="shared" si="58"/>
        <v>3648</v>
      </c>
      <c r="P111" s="38">
        <f t="shared" si="59"/>
        <v>8268</v>
      </c>
      <c r="Q111" s="39">
        <f t="shared" si="60"/>
        <v>528</v>
      </c>
      <c r="R111" s="39">
        <f t="shared" si="51"/>
        <v>175</v>
      </c>
      <c r="S111" s="39">
        <f t="shared" si="61"/>
        <v>62</v>
      </c>
      <c r="T111" s="39"/>
      <c r="U111" s="6"/>
      <c r="V111" s="8"/>
      <c r="W111" s="6"/>
      <c r="X111" s="6"/>
      <c r="Y111" s="39">
        <f t="shared" si="62"/>
        <v>765</v>
      </c>
      <c r="Z111" s="40">
        <f t="shared" si="63"/>
        <v>7503</v>
      </c>
      <c r="AA111" s="10">
        <v>500</v>
      </c>
      <c r="AB111" s="40">
        <f t="shared" si="64"/>
        <v>7003</v>
      </c>
      <c r="AE111" s="46"/>
      <c r="AF111" s="46"/>
      <c r="AI111" s="49"/>
      <c r="AJ111" s="49"/>
      <c r="AK111" s="49"/>
      <c r="AL111" s="49"/>
      <c r="AM111" s="49"/>
      <c r="AO111" s="74"/>
      <c r="AR111" s="201">
        <f t="shared" si="52"/>
        <v>8</v>
      </c>
      <c r="AS111" s="201">
        <f t="shared" si="53"/>
        <v>3</v>
      </c>
      <c r="AT111" s="42">
        <v>5</v>
      </c>
    </row>
    <row r="112" spans="1:46">
      <c r="A112" s="35">
        <v>103</v>
      </c>
      <c r="B112" s="197" t="s">
        <v>447</v>
      </c>
      <c r="C112" s="103" t="s">
        <v>447</v>
      </c>
      <c r="D112" s="99" t="s">
        <v>447</v>
      </c>
      <c r="E112" s="6">
        <v>16</v>
      </c>
      <c r="F112" s="36">
        <v>636</v>
      </c>
      <c r="G112" s="85">
        <v>6</v>
      </c>
      <c r="H112" s="9">
        <v>5</v>
      </c>
      <c r="I112" s="37">
        <f t="shared" si="54"/>
        <v>11</v>
      </c>
      <c r="J112" s="38">
        <f t="shared" si="55"/>
        <v>3816</v>
      </c>
      <c r="K112" s="38">
        <f t="shared" si="56"/>
        <v>3180</v>
      </c>
      <c r="L112" s="38">
        <f t="shared" si="49"/>
        <v>6996</v>
      </c>
      <c r="M112" s="38">
        <f t="shared" si="57"/>
        <v>3300</v>
      </c>
      <c r="N112" s="39">
        <f t="shared" si="39"/>
        <v>165</v>
      </c>
      <c r="O112" s="38">
        <f t="shared" si="58"/>
        <v>3531</v>
      </c>
      <c r="P112" s="38">
        <f t="shared" si="59"/>
        <v>6996</v>
      </c>
      <c r="Q112" s="39">
        <f t="shared" si="60"/>
        <v>396</v>
      </c>
      <c r="R112" s="39">
        <f t="shared" si="51"/>
        <v>0</v>
      </c>
      <c r="S112" s="39">
        <f t="shared" si="61"/>
        <v>52</v>
      </c>
      <c r="T112" s="39"/>
      <c r="U112" s="6"/>
      <c r="V112" s="8"/>
      <c r="W112" s="6"/>
      <c r="X112" s="6"/>
      <c r="Y112" s="39">
        <f t="shared" si="62"/>
        <v>448</v>
      </c>
      <c r="Z112" s="40">
        <f t="shared" si="63"/>
        <v>6548</v>
      </c>
      <c r="AA112" s="10">
        <v>500</v>
      </c>
      <c r="AB112" s="40">
        <f t="shared" si="64"/>
        <v>6048</v>
      </c>
      <c r="AC112" s="50" t="e">
        <f>SUM(#REF!)</f>
        <v>#REF!</v>
      </c>
      <c r="AD112" s="51" t="e">
        <f>SUM(#REF!)</f>
        <v>#REF!</v>
      </c>
      <c r="AE112" s="51" t="e">
        <f>SUM(#REF!)</f>
        <v>#REF!</v>
      </c>
      <c r="AF112" s="51" t="e">
        <f>SUM(#REF!)</f>
        <v>#REF!</v>
      </c>
      <c r="AG112" s="51" t="e">
        <f>SUM(#REF!)</f>
        <v>#REF!</v>
      </c>
      <c r="AI112" s="49"/>
      <c r="AJ112" s="49"/>
      <c r="AK112" s="49"/>
      <c r="AL112" s="49"/>
      <c r="AM112" s="49"/>
      <c r="AO112" s="76">
        <v>3307305901</v>
      </c>
      <c r="AR112" s="201">
        <f t="shared" si="52"/>
        <v>5</v>
      </c>
      <c r="AS112" s="201">
        <f t="shared" si="53"/>
        <v>0</v>
      </c>
      <c r="AT112" s="42">
        <v>5</v>
      </c>
    </row>
    <row r="113" spans="1:46">
      <c r="A113" s="35">
        <v>104</v>
      </c>
      <c r="B113" s="197" t="s">
        <v>448</v>
      </c>
      <c r="C113" s="103" t="s">
        <v>448</v>
      </c>
      <c r="D113" s="99" t="s">
        <v>448</v>
      </c>
      <c r="E113" s="6">
        <v>18</v>
      </c>
      <c r="F113" s="36">
        <v>636</v>
      </c>
      <c r="G113" s="85">
        <v>8</v>
      </c>
      <c r="H113" s="9">
        <v>5</v>
      </c>
      <c r="I113" s="37">
        <f t="shared" si="54"/>
        <v>13</v>
      </c>
      <c r="J113" s="38">
        <f t="shared" si="55"/>
        <v>5088</v>
      </c>
      <c r="K113" s="38">
        <f t="shared" si="56"/>
        <v>3180</v>
      </c>
      <c r="L113" s="38">
        <f t="shared" si="49"/>
        <v>8268</v>
      </c>
      <c r="M113" s="38">
        <f t="shared" si="57"/>
        <v>4400</v>
      </c>
      <c r="N113" s="39">
        <f t="shared" si="39"/>
        <v>220</v>
      </c>
      <c r="O113" s="38">
        <f t="shared" si="58"/>
        <v>3648</v>
      </c>
      <c r="P113" s="38">
        <f t="shared" si="59"/>
        <v>8268</v>
      </c>
      <c r="Q113" s="39">
        <f t="shared" si="60"/>
        <v>528</v>
      </c>
      <c r="R113" s="39">
        <f t="shared" si="51"/>
        <v>175</v>
      </c>
      <c r="S113" s="39">
        <f t="shared" si="61"/>
        <v>62</v>
      </c>
      <c r="T113" s="39"/>
      <c r="U113" s="6"/>
      <c r="V113" s="8"/>
      <c r="W113" s="8"/>
      <c r="X113" s="6"/>
      <c r="Y113" s="39">
        <f t="shared" si="62"/>
        <v>765</v>
      </c>
      <c r="Z113" s="40">
        <f t="shared" si="63"/>
        <v>7503</v>
      </c>
      <c r="AA113" s="10">
        <v>500</v>
      </c>
      <c r="AB113" s="40">
        <f t="shared" si="64"/>
        <v>7003</v>
      </c>
      <c r="AC113" s="41">
        <f>E113-AB113</f>
        <v>-6985</v>
      </c>
      <c r="AD113" s="42" t="e">
        <f>VLOOKUP(D113,#REF!,2,0)</f>
        <v>#REF!</v>
      </c>
      <c r="AE113" s="46"/>
      <c r="AF113" s="46"/>
      <c r="AI113" s="6" t="s">
        <v>159</v>
      </c>
      <c r="AJ113" s="42" t="b">
        <f>D113=AI113</f>
        <v>0</v>
      </c>
      <c r="AK113" s="6"/>
      <c r="AL113" s="6"/>
      <c r="AM113" s="6"/>
      <c r="AO113" s="76">
        <v>3317141751</v>
      </c>
      <c r="AP113" s="42" t="b">
        <f>AO113=C113</f>
        <v>0</v>
      </c>
      <c r="AR113" s="201">
        <f t="shared" si="52"/>
        <v>5</v>
      </c>
      <c r="AS113" s="201">
        <f t="shared" si="53"/>
        <v>0</v>
      </c>
      <c r="AT113" s="42">
        <v>5</v>
      </c>
    </row>
    <row r="114" spans="1:46" s="46" customFormat="1">
      <c r="A114" s="35">
        <v>66</v>
      </c>
      <c r="B114" s="197" t="s">
        <v>449</v>
      </c>
      <c r="C114" s="103" t="s">
        <v>449</v>
      </c>
      <c r="D114" s="99" t="s">
        <v>449</v>
      </c>
      <c r="E114" s="6">
        <v>2</v>
      </c>
      <c r="F114" s="36">
        <v>636</v>
      </c>
      <c r="G114" s="85">
        <v>0</v>
      </c>
      <c r="H114" s="9">
        <v>0</v>
      </c>
      <c r="I114" s="37">
        <f t="shared" si="54"/>
        <v>0</v>
      </c>
      <c r="J114" s="38">
        <f t="shared" si="55"/>
        <v>0</v>
      </c>
      <c r="K114" s="38">
        <f t="shared" si="56"/>
        <v>0</v>
      </c>
      <c r="L114" s="38">
        <f t="shared" ref="L114:L123" si="65">J114+K114</f>
        <v>0</v>
      </c>
      <c r="M114" s="38">
        <f t="shared" si="57"/>
        <v>0</v>
      </c>
      <c r="N114" s="39">
        <f t="shared" si="39"/>
        <v>0</v>
      </c>
      <c r="O114" s="38">
        <f t="shared" si="58"/>
        <v>0</v>
      </c>
      <c r="P114" s="38">
        <f t="shared" si="59"/>
        <v>0</v>
      </c>
      <c r="Q114" s="39">
        <f t="shared" si="60"/>
        <v>0</v>
      </c>
      <c r="R114" s="39">
        <f t="shared" si="51"/>
        <v>0</v>
      </c>
      <c r="S114" s="39">
        <f t="shared" si="61"/>
        <v>0</v>
      </c>
      <c r="T114" s="39"/>
      <c r="U114" s="6"/>
      <c r="V114" s="4"/>
      <c r="W114" s="7"/>
      <c r="X114" s="2"/>
      <c r="Y114" s="39">
        <f t="shared" si="62"/>
        <v>0</v>
      </c>
      <c r="Z114" s="40">
        <f t="shared" si="63"/>
        <v>0</v>
      </c>
      <c r="AA114" s="10"/>
      <c r="AB114" s="40">
        <f t="shared" si="64"/>
        <v>0</v>
      </c>
      <c r="AC114" s="41">
        <f t="shared" ref="AC114:AC123" si="66">E114-AB114</f>
        <v>2</v>
      </c>
      <c r="AD114" s="42" t="e">
        <f>VLOOKUP(D114,#REF!,2,0)</f>
        <v>#REF!</v>
      </c>
      <c r="AE114" s="42"/>
      <c r="AF114" s="42">
        <v>14356.75</v>
      </c>
      <c r="AG114" s="43">
        <f t="shared" ref="AG114:AG123" si="67">AF114-AB114</f>
        <v>14356.75</v>
      </c>
      <c r="AI114" s="6" t="s">
        <v>115</v>
      </c>
      <c r="AJ114" s="42" t="b">
        <f t="shared" ref="AJ114:AJ123" si="68">D114=AI114</f>
        <v>0</v>
      </c>
      <c r="AK114" s="6">
        <v>8</v>
      </c>
      <c r="AL114" s="6"/>
      <c r="AM114" s="6">
        <v>4000</v>
      </c>
      <c r="AO114" s="73">
        <v>3315708668</v>
      </c>
      <c r="AP114" s="42" t="b">
        <f t="shared" ref="AP114:AP123" si="69">AO114=C114</f>
        <v>0</v>
      </c>
      <c r="AR114" s="201">
        <f t="shared" si="52"/>
        <v>2</v>
      </c>
      <c r="AS114" s="201">
        <f t="shared" si="53"/>
        <v>-3</v>
      </c>
      <c r="AT114" s="42">
        <v>5</v>
      </c>
    </row>
    <row r="115" spans="1:46" s="46" customFormat="1">
      <c r="A115" s="35">
        <v>67</v>
      </c>
      <c r="B115" s="197" t="s">
        <v>450</v>
      </c>
      <c r="C115" s="103" t="s">
        <v>450</v>
      </c>
      <c r="D115" s="99" t="s">
        <v>450</v>
      </c>
      <c r="E115" s="6">
        <v>11</v>
      </c>
      <c r="F115" s="36">
        <v>636</v>
      </c>
      <c r="G115" s="85">
        <v>4</v>
      </c>
      <c r="H115" s="9">
        <v>5</v>
      </c>
      <c r="I115" s="37">
        <f t="shared" si="54"/>
        <v>9</v>
      </c>
      <c r="J115" s="38">
        <f t="shared" si="55"/>
        <v>2544</v>
      </c>
      <c r="K115" s="38">
        <f t="shared" si="56"/>
        <v>3180</v>
      </c>
      <c r="L115" s="38">
        <f t="shared" si="65"/>
        <v>5724</v>
      </c>
      <c r="M115" s="38">
        <f t="shared" si="57"/>
        <v>2200</v>
      </c>
      <c r="N115" s="39">
        <f t="shared" si="39"/>
        <v>110</v>
      </c>
      <c r="O115" s="38">
        <f t="shared" si="58"/>
        <v>3414</v>
      </c>
      <c r="P115" s="38">
        <f t="shared" si="59"/>
        <v>5724</v>
      </c>
      <c r="Q115" s="39">
        <f t="shared" si="60"/>
        <v>264</v>
      </c>
      <c r="R115" s="39">
        <f t="shared" si="51"/>
        <v>0</v>
      </c>
      <c r="S115" s="39">
        <f t="shared" si="61"/>
        <v>43</v>
      </c>
      <c r="T115" s="39"/>
      <c r="U115" s="6"/>
      <c r="V115" s="4"/>
      <c r="W115" s="7"/>
      <c r="X115" s="2"/>
      <c r="Y115" s="39">
        <f t="shared" si="62"/>
        <v>307</v>
      </c>
      <c r="Z115" s="40">
        <f t="shared" si="63"/>
        <v>5417</v>
      </c>
      <c r="AA115" s="10">
        <v>500</v>
      </c>
      <c r="AB115" s="40">
        <f t="shared" si="64"/>
        <v>4917</v>
      </c>
      <c r="AC115" s="41">
        <f t="shared" si="66"/>
        <v>-4906</v>
      </c>
      <c r="AD115" s="42" t="e">
        <f>VLOOKUP(D115,#REF!,2,0)</f>
        <v>#REF!</v>
      </c>
      <c r="AE115" s="27" t="s">
        <v>28</v>
      </c>
      <c r="AF115" s="27">
        <v>11975.7</v>
      </c>
      <c r="AG115" s="43">
        <f t="shared" si="67"/>
        <v>7058.7000000000007</v>
      </c>
      <c r="AI115" s="6" t="s">
        <v>38</v>
      </c>
      <c r="AJ115" s="42" t="b">
        <f t="shared" si="68"/>
        <v>0</v>
      </c>
      <c r="AK115" s="6">
        <v>447</v>
      </c>
      <c r="AL115" s="6"/>
      <c r="AM115" s="6"/>
      <c r="AO115" s="73">
        <v>3315199534</v>
      </c>
      <c r="AP115" s="42" t="b">
        <f t="shared" si="69"/>
        <v>0</v>
      </c>
      <c r="AR115" s="201">
        <f t="shared" si="52"/>
        <v>2</v>
      </c>
      <c r="AS115" s="201">
        <f t="shared" si="53"/>
        <v>-3</v>
      </c>
      <c r="AT115" s="42">
        <v>5</v>
      </c>
    </row>
    <row r="116" spans="1:46" s="46" customFormat="1">
      <c r="A116" s="35">
        <v>68</v>
      </c>
      <c r="B116" s="197" t="s">
        <v>451</v>
      </c>
      <c r="C116" s="103" t="s">
        <v>451</v>
      </c>
      <c r="D116" s="99" t="s">
        <v>451</v>
      </c>
      <c r="E116" s="6">
        <v>4</v>
      </c>
      <c r="F116" s="36">
        <v>636</v>
      </c>
      <c r="G116" s="85">
        <v>0</v>
      </c>
      <c r="H116" s="9">
        <v>0</v>
      </c>
      <c r="I116" s="37">
        <f t="shared" si="54"/>
        <v>0</v>
      </c>
      <c r="J116" s="38">
        <f t="shared" si="55"/>
        <v>0</v>
      </c>
      <c r="K116" s="38">
        <f t="shared" si="56"/>
        <v>0</v>
      </c>
      <c r="L116" s="38">
        <f t="shared" si="65"/>
        <v>0</v>
      </c>
      <c r="M116" s="38">
        <f t="shared" si="57"/>
        <v>0</v>
      </c>
      <c r="N116" s="39">
        <f t="shared" si="39"/>
        <v>0</v>
      </c>
      <c r="O116" s="38">
        <f t="shared" si="58"/>
        <v>0</v>
      </c>
      <c r="P116" s="38">
        <f t="shared" si="59"/>
        <v>0</v>
      </c>
      <c r="Q116" s="39">
        <f t="shared" si="60"/>
        <v>0</v>
      </c>
      <c r="R116" s="39">
        <f t="shared" si="51"/>
        <v>0</v>
      </c>
      <c r="S116" s="39">
        <f t="shared" si="61"/>
        <v>0</v>
      </c>
      <c r="T116" s="39"/>
      <c r="U116" s="6"/>
      <c r="V116" s="4"/>
      <c r="W116" s="7"/>
      <c r="X116" s="2"/>
      <c r="Y116" s="39">
        <f t="shared" si="62"/>
        <v>0</v>
      </c>
      <c r="Z116" s="40">
        <f t="shared" si="63"/>
        <v>0</v>
      </c>
      <c r="AA116" s="10">
        <v>500</v>
      </c>
      <c r="AB116" s="40">
        <f t="shared" si="64"/>
        <v>-500</v>
      </c>
      <c r="AC116" s="41">
        <f t="shared" si="66"/>
        <v>504</v>
      </c>
      <c r="AD116" s="42" t="e">
        <f>VLOOKUP(D116,#REF!,2,0)</f>
        <v>#REF!</v>
      </c>
      <c r="AE116" s="27"/>
      <c r="AF116" s="27">
        <v>13331.05</v>
      </c>
      <c r="AG116" s="43">
        <f t="shared" si="67"/>
        <v>13831.05</v>
      </c>
      <c r="AI116" s="6" t="s">
        <v>110</v>
      </c>
      <c r="AJ116" s="42" t="b">
        <f t="shared" si="68"/>
        <v>0</v>
      </c>
      <c r="AK116" s="6">
        <v>275</v>
      </c>
      <c r="AL116" s="6">
        <v>75</v>
      </c>
      <c r="AM116" s="6"/>
      <c r="AO116" s="73">
        <v>3315929520</v>
      </c>
      <c r="AP116" s="42" t="b">
        <f t="shared" si="69"/>
        <v>0</v>
      </c>
      <c r="AR116" s="201">
        <f t="shared" si="52"/>
        <v>4</v>
      </c>
      <c r="AS116" s="201">
        <f t="shared" si="53"/>
        <v>-1</v>
      </c>
      <c r="AT116" s="42">
        <v>5</v>
      </c>
    </row>
    <row r="117" spans="1:46" s="46" customFormat="1">
      <c r="A117" s="35">
        <v>69</v>
      </c>
      <c r="B117" s="122" t="s">
        <v>452</v>
      </c>
      <c r="C117" s="103" t="s">
        <v>452</v>
      </c>
      <c r="D117" s="99" t="s">
        <v>452</v>
      </c>
      <c r="E117" s="6">
        <v>14</v>
      </c>
      <c r="F117" s="36">
        <v>636</v>
      </c>
      <c r="G117" s="85">
        <v>7</v>
      </c>
      <c r="H117" s="9">
        <v>5</v>
      </c>
      <c r="I117" s="37">
        <f t="shared" si="54"/>
        <v>12</v>
      </c>
      <c r="J117" s="38">
        <f t="shared" si="55"/>
        <v>4452</v>
      </c>
      <c r="K117" s="38">
        <f t="shared" si="56"/>
        <v>3180</v>
      </c>
      <c r="L117" s="38">
        <f t="shared" si="65"/>
        <v>7632</v>
      </c>
      <c r="M117" s="38">
        <f t="shared" si="57"/>
        <v>3850</v>
      </c>
      <c r="N117" s="39">
        <f t="shared" si="39"/>
        <v>193</v>
      </c>
      <c r="O117" s="38">
        <f t="shared" si="58"/>
        <v>3589</v>
      </c>
      <c r="P117" s="38">
        <f t="shared" si="59"/>
        <v>7632</v>
      </c>
      <c r="Q117" s="39">
        <f t="shared" si="60"/>
        <v>462</v>
      </c>
      <c r="R117" s="39">
        <f t="shared" si="51"/>
        <v>175</v>
      </c>
      <c r="S117" s="39">
        <f t="shared" si="61"/>
        <v>57</v>
      </c>
      <c r="T117" s="39"/>
      <c r="U117" s="6"/>
      <c r="V117" s="4"/>
      <c r="W117" s="7"/>
      <c r="X117" s="3"/>
      <c r="Y117" s="39">
        <f t="shared" si="62"/>
        <v>694</v>
      </c>
      <c r="Z117" s="40">
        <f t="shared" si="63"/>
        <v>6938</v>
      </c>
      <c r="AA117" s="10">
        <v>500</v>
      </c>
      <c r="AB117" s="40">
        <f t="shared" si="64"/>
        <v>6438</v>
      </c>
      <c r="AC117" s="41">
        <f t="shared" si="66"/>
        <v>-6424</v>
      </c>
      <c r="AD117" s="42" t="e">
        <f>VLOOKUP(D117,#REF!,2,0)</f>
        <v>#REF!</v>
      </c>
      <c r="AE117" s="42" t="s">
        <v>8</v>
      </c>
      <c r="AF117" s="42">
        <v>7110.7</v>
      </c>
      <c r="AG117" s="43">
        <f t="shared" si="67"/>
        <v>672.69999999999982</v>
      </c>
      <c r="AI117" s="6" t="s">
        <v>151</v>
      </c>
      <c r="AJ117" s="42" t="b">
        <f t="shared" si="68"/>
        <v>0</v>
      </c>
      <c r="AK117" s="6"/>
      <c r="AL117" s="6"/>
      <c r="AM117" s="6"/>
      <c r="AO117" s="72">
        <v>3315746691</v>
      </c>
      <c r="AP117" s="42" t="b">
        <f t="shared" si="69"/>
        <v>0</v>
      </c>
      <c r="AR117" s="201">
        <f t="shared" si="52"/>
        <v>2</v>
      </c>
      <c r="AS117" s="201">
        <f t="shared" si="53"/>
        <v>-3</v>
      </c>
      <c r="AT117" s="42">
        <v>5</v>
      </c>
    </row>
    <row r="118" spans="1:46" s="46" customFormat="1">
      <c r="A118" s="35">
        <v>70</v>
      </c>
      <c r="B118" s="122" t="s">
        <v>453</v>
      </c>
      <c r="C118" s="103" t="s">
        <v>453</v>
      </c>
      <c r="D118" s="99" t="s">
        <v>453</v>
      </c>
      <c r="E118" s="6">
        <v>10.5</v>
      </c>
      <c r="F118" s="36">
        <v>636</v>
      </c>
      <c r="G118" s="85">
        <v>4.5</v>
      </c>
      <c r="H118" s="9">
        <v>5</v>
      </c>
      <c r="I118" s="37">
        <f t="shared" si="54"/>
        <v>9.5</v>
      </c>
      <c r="J118" s="38">
        <f t="shared" si="55"/>
        <v>2862</v>
      </c>
      <c r="K118" s="38">
        <f t="shared" si="56"/>
        <v>3180</v>
      </c>
      <c r="L118" s="38">
        <f t="shared" si="65"/>
        <v>6042</v>
      </c>
      <c r="M118" s="38">
        <f t="shared" si="57"/>
        <v>2475</v>
      </c>
      <c r="N118" s="39">
        <f t="shared" si="39"/>
        <v>124</v>
      </c>
      <c r="O118" s="38">
        <f t="shared" si="58"/>
        <v>3443</v>
      </c>
      <c r="P118" s="38">
        <f t="shared" si="59"/>
        <v>6042</v>
      </c>
      <c r="Q118" s="39">
        <f t="shared" si="60"/>
        <v>297</v>
      </c>
      <c r="R118" s="39">
        <f t="shared" si="51"/>
        <v>0</v>
      </c>
      <c r="S118" s="39">
        <f t="shared" si="61"/>
        <v>45</v>
      </c>
      <c r="T118" s="39"/>
      <c r="U118" s="6"/>
      <c r="V118" s="4"/>
      <c r="W118" s="7"/>
      <c r="X118" s="2"/>
      <c r="Y118" s="39">
        <f t="shared" si="62"/>
        <v>342</v>
      </c>
      <c r="Z118" s="40">
        <f t="shared" si="63"/>
        <v>5700</v>
      </c>
      <c r="AA118" s="10">
        <v>500</v>
      </c>
      <c r="AB118" s="40">
        <f t="shared" si="64"/>
        <v>5200</v>
      </c>
      <c r="AC118" s="41">
        <f t="shared" si="66"/>
        <v>-5189.5</v>
      </c>
      <c r="AD118" s="42" t="e">
        <f>VLOOKUP(D118,#REF!,2,0)</f>
        <v>#REF!</v>
      </c>
      <c r="AE118" s="42" t="s">
        <v>14</v>
      </c>
      <c r="AF118" s="42">
        <v>7513.4</v>
      </c>
      <c r="AG118" s="43">
        <f t="shared" si="67"/>
        <v>2313.3999999999996</v>
      </c>
      <c r="AI118" s="6" t="s">
        <v>39</v>
      </c>
      <c r="AJ118" s="42" t="b">
        <f t="shared" si="68"/>
        <v>0</v>
      </c>
      <c r="AK118" s="6">
        <v>487</v>
      </c>
      <c r="AL118" s="6"/>
      <c r="AM118" s="6"/>
      <c r="AO118" s="76">
        <v>3315529289</v>
      </c>
      <c r="AP118" s="42" t="b">
        <f t="shared" si="69"/>
        <v>0</v>
      </c>
      <c r="AR118" s="201">
        <f t="shared" si="52"/>
        <v>1</v>
      </c>
      <c r="AS118" s="201">
        <f t="shared" si="53"/>
        <v>-4</v>
      </c>
      <c r="AT118" s="42">
        <v>5</v>
      </c>
    </row>
    <row r="119" spans="1:46" s="46" customFormat="1">
      <c r="A119" s="35">
        <v>71</v>
      </c>
      <c r="B119" s="128" t="s">
        <v>454</v>
      </c>
      <c r="C119" s="102" t="s">
        <v>454</v>
      </c>
      <c r="D119" s="99" t="s">
        <v>454</v>
      </c>
      <c r="E119" s="6">
        <v>15</v>
      </c>
      <c r="F119" s="36">
        <v>636</v>
      </c>
      <c r="G119" s="85">
        <v>8</v>
      </c>
      <c r="H119" s="9">
        <v>5</v>
      </c>
      <c r="I119" s="37">
        <f>+G119+H119</f>
        <v>13</v>
      </c>
      <c r="J119" s="38">
        <f>ROUND(G119*F119,0)</f>
        <v>5088</v>
      </c>
      <c r="K119" s="38">
        <f>ROUND(F119*H119,0)</f>
        <v>3180</v>
      </c>
      <c r="L119" s="38">
        <f>J119+K119</f>
        <v>8268</v>
      </c>
      <c r="M119" s="38">
        <f>ROUND($M$4*G119,0)</f>
        <v>4400</v>
      </c>
      <c r="N119" s="39">
        <f t="shared" si="39"/>
        <v>220</v>
      </c>
      <c r="O119" s="38">
        <f>L119-M119-N119</f>
        <v>3648</v>
      </c>
      <c r="P119" s="38">
        <f>O119+N119+M119</f>
        <v>8268</v>
      </c>
      <c r="Q119" s="39">
        <f>ROUND(M119*12%,0)</f>
        <v>528</v>
      </c>
      <c r="R119" s="39">
        <f>IF(P119&lt;=7500,0,IF(P119&lt;=10000,175,200))</f>
        <v>175</v>
      </c>
      <c r="S119" s="39">
        <f>ROUND(P119*0.75%,0)</f>
        <v>62</v>
      </c>
      <c r="T119" s="39"/>
      <c r="U119" s="6"/>
      <c r="V119" s="4"/>
      <c r="W119" s="7"/>
      <c r="X119" s="2"/>
      <c r="Y119" s="39">
        <f>SUM(Q119:X119)</f>
        <v>765</v>
      </c>
      <c r="Z119" s="40">
        <f>P119-Y119</f>
        <v>7503</v>
      </c>
      <c r="AA119" s="10">
        <v>500</v>
      </c>
      <c r="AB119" s="40">
        <f>Z119-AA119</f>
        <v>7003</v>
      </c>
      <c r="AC119" s="41">
        <f>E119-AB119</f>
        <v>-6988</v>
      </c>
      <c r="AD119" s="42" t="e">
        <f>VLOOKUP(D119,#REF!,2,0)</f>
        <v>#REF!</v>
      </c>
      <c r="AE119" s="42" t="s">
        <v>53</v>
      </c>
      <c r="AF119" s="42">
        <v>7887.4</v>
      </c>
      <c r="AG119" s="43">
        <f>AF119-AB119</f>
        <v>884.39999999999964</v>
      </c>
      <c r="AI119" s="6" t="s">
        <v>101</v>
      </c>
      <c r="AJ119" s="42" t="b">
        <f>D119=AI119</f>
        <v>0</v>
      </c>
      <c r="AK119" s="6">
        <v>522</v>
      </c>
      <c r="AL119" s="6">
        <v>16.8</v>
      </c>
      <c r="AM119" s="6"/>
      <c r="AO119" s="76">
        <v>3315747749</v>
      </c>
      <c r="AP119" s="42" t="b">
        <f>AO119=C119</f>
        <v>0</v>
      </c>
      <c r="AR119" s="201">
        <f t="shared" si="52"/>
        <v>2</v>
      </c>
      <c r="AS119" s="201">
        <f t="shared" si="53"/>
        <v>-3</v>
      </c>
      <c r="AT119" s="42">
        <v>5</v>
      </c>
    </row>
    <row r="120" spans="1:46">
      <c r="A120" s="35">
        <v>72</v>
      </c>
      <c r="B120" s="96" t="s">
        <v>455</v>
      </c>
      <c r="C120" s="102" t="s">
        <v>455</v>
      </c>
      <c r="D120" s="198" t="s">
        <v>455</v>
      </c>
      <c r="E120" s="6">
        <v>15</v>
      </c>
      <c r="F120" s="36">
        <v>636</v>
      </c>
      <c r="G120" s="85">
        <v>9</v>
      </c>
      <c r="H120" s="9">
        <v>5</v>
      </c>
      <c r="I120" s="37">
        <f>+G120+H120</f>
        <v>14</v>
      </c>
      <c r="J120" s="38">
        <f>ROUND(G120*F120,0)</f>
        <v>5724</v>
      </c>
      <c r="K120" s="38">
        <f>ROUND(F120*H120,0)</f>
        <v>3180</v>
      </c>
      <c r="L120" s="38">
        <f>J120+K120</f>
        <v>8904</v>
      </c>
      <c r="M120" s="38">
        <f>ROUND($M$4*G120,0)</f>
        <v>4950</v>
      </c>
      <c r="N120" s="39">
        <f t="shared" si="39"/>
        <v>248</v>
      </c>
      <c r="O120" s="38">
        <f>L120-M120-N120</f>
        <v>3706</v>
      </c>
      <c r="P120" s="38">
        <f>O120+N120+M120</f>
        <v>8904</v>
      </c>
      <c r="Q120" s="39">
        <f>ROUND(M120*12%,0)</f>
        <v>594</v>
      </c>
      <c r="R120" s="39">
        <f>IF(P120&lt;=7500,0,IF(P120&lt;=10000,175,200))</f>
        <v>175</v>
      </c>
      <c r="S120" s="39">
        <f>ROUND(P120*0.75%,0)</f>
        <v>67</v>
      </c>
      <c r="T120" s="39"/>
      <c r="U120" s="6"/>
      <c r="V120" s="4"/>
      <c r="W120" s="7"/>
      <c r="X120" s="2"/>
      <c r="Y120" s="39">
        <f>SUM(Q120:X120)</f>
        <v>836</v>
      </c>
      <c r="Z120" s="40">
        <f>P120-Y120</f>
        <v>8068</v>
      </c>
      <c r="AA120" s="10">
        <v>500</v>
      </c>
      <c r="AB120" s="40">
        <f>Z120-AA120</f>
        <v>7568</v>
      </c>
      <c r="AC120" s="41">
        <f>E120-AB120</f>
        <v>-7553</v>
      </c>
      <c r="AD120" s="42" t="e">
        <f>VLOOKUP(D120,#REF!,2,0)</f>
        <v>#REF!</v>
      </c>
      <c r="AE120" s="42" t="s">
        <v>54</v>
      </c>
      <c r="AF120" s="42">
        <v>9055.4</v>
      </c>
      <c r="AG120" s="43">
        <f>AF120-AB120</f>
        <v>1487.3999999999996</v>
      </c>
      <c r="AI120" s="6" t="s">
        <v>53</v>
      </c>
      <c r="AJ120" s="42" t="b">
        <f>D120=AI120</f>
        <v>0</v>
      </c>
      <c r="AK120" s="6">
        <v>472</v>
      </c>
      <c r="AL120" s="6"/>
      <c r="AM120" s="6"/>
      <c r="AO120" s="76">
        <v>3316492655</v>
      </c>
      <c r="AP120" s="42" t="b">
        <f>AO120=C120</f>
        <v>0</v>
      </c>
      <c r="AR120" s="201">
        <f t="shared" si="52"/>
        <v>1</v>
      </c>
      <c r="AS120" s="201">
        <f t="shared" si="53"/>
        <v>-4</v>
      </c>
      <c r="AT120" s="42">
        <v>5</v>
      </c>
    </row>
    <row r="121" spans="1:46">
      <c r="A121" s="35">
        <v>73</v>
      </c>
      <c r="B121" s="124" t="s">
        <v>457</v>
      </c>
      <c r="C121" s="99" t="s">
        <v>457</v>
      </c>
      <c r="D121" s="99" t="s">
        <v>457</v>
      </c>
      <c r="E121" s="6">
        <v>21</v>
      </c>
      <c r="F121" s="36">
        <v>636</v>
      </c>
      <c r="G121" s="85">
        <v>6</v>
      </c>
      <c r="H121" s="9">
        <v>5</v>
      </c>
      <c r="I121" s="37">
        <f>+G121+H121</f>
        <v>11</v>
      </c>
      <c r="J121" s="38">
        <f>ROUND(G121*F121,0)</f>
        <v>3816</v>
      </c>
      <c r="K121" s="38">
        <f>ROUND(F121*H121,0)</f>
        <v>3180</v>
      </c>
      <c r="L121" s="38">
        <f>J121+K121</f>
        <v>6996</v>
      </c>
      <c r="M121" s="38">
        <f>ROUND($M$4*G121,0)</f>
        <v>3300</v>
      </c>
      <c r="N121" s="39">
        <f t="shared" si="39"/>
        <v>165</v>
      </c>
      <c r="O121" s="38">
        <f>L121-M121-N121</f>
        <v>3531</v>
      </c>
      <c r="P121" s="38">
        <f>O121+N121+M121</f>
        <v>6996</v>
      </c>
      <c r="Q121" s="39">
        <f>ROUND(M121*12%,0)</f>
        <v>396</v>
      </c>
      <c r="R121" s="39">
        <f>IF(P121&lt;=7500,0,IF(P121&lt;=10000,175,200))</f>
        <v>0</v>
      </c>
      <c r="S121" s="39">
        <f>ROUND(P121*0.75%,0)</f>
        <v>52</v>
      </c>
      <c r="T121" s="39"/>
      <c r="U121" s="6"/>
      <c r="V121" s="4"/>
      <c r="W121" s="7"/>
      <c r="X121" s="2"/>
      <c r="Y121" s="39">
        <f>SUM(Q121:X121)</f>
        <v>448</v>
      </c>
      <c r="Z121" s="40">
        <f>P121-Y121</f>
        <v>6548</v>
      </c>
      <c r="AA121" s="10">
        <v>500</v>
      </c>
      <c r="AB121" s="40">
        <f>Z121-AA121</f>
        <v>6048</v>
      </c>
      <c r="AC121" s="41">
        <f>E121-AB121</f>
        <v>-6027</v>
      </c>
      <c r="AD121" s="42" t="e">
        <f>VLOOKUP(D121,#REF!,2,0)</f>
        <v>#REF!</v>
      </c>
      <c r="AE121" s="27" t="s">
        <v>55</v>
      </c>
      <c r="AF121" s="27">
        <v>2460</v>
      </c>
      <c r="AG121" s="43">
        <f>AF121-AB121</f>
        <v>-3588</v>
      </c>
      <c r="AI121" s="6" t="s">
        <v>129</v>
      </c>
      <c r="AJ121" s="42" t="b">
        <f>D121=AI121</f>
        <v>0</v>
      </c>
      <c r="AK121" s="6">
        <v>73</v>
      </c>
      <c r="AL121" s="6">
        <v>193.2</v>
      </c>
      <c r="AM121" s="6"/>
      <c r="AO121" s="76">
        <v>3314771015</v>
      </c>
      <c r="AP121" s="42" t="b">
        <f>AO121=C121</f>
        <v>0</v>
      </c>
      <c r="AR121" s="201">
        <f t="shared" si="52"/>
        <v>10</v>
      </c>
      <c r="AS121" s="201">
        <f t="shared" si="53"/>
        <v>5</v>
      </c>
      <c r="AT121" s="42">
        <v>5</v>
      </c>
    </row>
    <row r="122" spans="1:46" s="46" customFormat="1">
      <c r="A122" s="35">
        <v>71</v>
      </c>
      <c r="B122" s="128" t="s">
        <v>458</v>
      </c>
      <c r="C122" s="102" t="s">
        <v>458</v>
      </c>
      <c r="D122" s="99" t="s">
        <v>458</v>
      </c>
      <c r="E122" s="6">
        <v>23.5</v>
      </c>
      <c r="F122" s="36">
        <v>636</v>
      </c>
      <c r="G122" s="85">
        <v>7.5</v>
      </c>
      <c r="H122" s="9">
        <v>5</v>
      </c>
      <c r="I122" s="37">
        <f t="shared" si="54"/>
        <v>12.5</v>
      </c>
      <c r="J122" s="38">
        <f t="shared" si="55"/>
        <v>4770</v>
      </c>
      <c r="K122" s="38">
        <f t="shared" si="56"/>
        <v>3180</v>
      </c>
      <c r="L122" s="38">
        <f t="shared" si="65"/>
        <v>7950</v>
      </c>
      <c r="M122" s="38">
        <f t="shared" si="57"/>
        <v>4125</v>
      </c>
      <c r="N122" s="39">
        <f t="shared" si="39"/>
        <v>206</v>
      </c>
      <c r="O122" s="38">
        <f t="shared" si="58"/>
        <v>3619</v>
      </c>
      <c r="P122" s="38">
        <f t="shared" si="59"/>
        <v>7950</v>
      </c>
      <c r="Q122" s="39">
        <f t="shared" si="60"/>
        <v>495</v>
      </c>
      <c r="R122" s="39">
        <f t="shared" si="51"/>
        <v>175</v>
      </c>
      <c r="S122" s="39">
        <f t="shared" si="61"/>
        <v>60</v>
      </c>
      <c r="T122" s="39"/>
      <c r="U122" s="6"/>
      <c r="V122" s="4"/>
      <c r="W122" s="7"/>
      <c r="X122" s="2"/>
      <c r="Y122" s="39">
        <f t="shared" si="62"/>
        <v>730</v>
      </c>
      <c r="Z122" s="40">
        <f t="shared" si="63"/>
        <v>7220</v>
      </c>
      <c r="AA122" s="10">
        <v>500</v>
      </c>
      <c r="AB122" s="40">
        <f t="shared" si="64"/>
        <v>6720</v>
      </c>
      <c r="AC122" s="41">
        <f t="shared" si="66"/>
        <v>-6696.5</v>
      </c>
      <c r="AD122" s="42" t="e">
        <f>VLOOKUP(D122,#REF!,2,0)</f>
        <v>#REF!</v>
      </c>
      <c r="AE122" s="42" t="s">
        <v>53</v>
      </c>
      <c r="AF122" s="42">
        <v>7887.4</v>
      </c>
      <c r="AG122" s="43">
        <f t="shared" si="67"/>
        <v>1167.3999999999996</v>
      </c>
      <c r="AI122" s="6" t="s">
        <v>101</v>
      </c>
      <c r="AJ122" s="42" t="b">
        <f t="shared" si="68"/>
        <v>0</v>
      </c>
      <c r="AK122" s="6">
        <v>522</v>
      </c>
      <c r="AL122" s="6">
        <v>16.8</v>
      </c>
      <c r="AM122" s="6"/>
      <c r="AO122" s="76">
        <v>3315747749</v>
      </c>
      <c r="AP122" s="42" t="b">
        <f t="shared" si="69"/>
        <v>0</v>
      </c>
      <c r="AR122" s="201">
        <f t="shared" si="52"/>
        <v>11</v>
      </c>
      <c r="AS122" s="201">
        <f t="shared" si="53"/>
        <v>6</v>
      </c>
      <c r="AT122" s="42">
        <v>5</v>
      </c>
    </row>
    <row r="123" spans="1:46">
      <c r="A123" s="35">
        <v>72</v>
      </c>
      <c r="B123" s="96" t="s">
        <v>459</v>
      </c>
      <c r="C123" s="102" t="s">
        <v>459</v>
      </c>
      <c r="D123" s="198" t="s">
        <v>459</v>
      </c>
      <c r="E123" s="6">
        <v>4</v>
      </c>
      <c r="F123" s="36">
        <v>636</v>
      </c>
      <c r="G123" s="85">
        <v>0</v>
      </c>
      <c r="H123" s="9">
        <v>0</v>
      </c>
      <c r="I123" s="37">
        <f t="shared" si="54"/>
        <v>0</v>
      </c>
      <c r="J123" s="38">
        <f t="shared" si="55"/>
        <v>0</v>
      </c>
      <c r="K123" s="38">
        <f t="shared" si="56"/>
        <v>0</v>
      </c>
      <c r="L123" s="38">
        <f t="shared" si="65"/>
        <v>0</v>
      </c>
      <c r="M123" s="38">
        <f t="shared" si="57"/>
        <v>0</v>
      </c>
      <c r="N123" s="39">
        <f t="shared" si="39"/>
        <v>0</v>
      </c>
      <c r="O123" s="38">
        <f t="shared" si="58"/>
        <v>0</v>
      </c>
      <c r="P123" s="38">
        <f t="shared" si="59"/>
        <v>0</v>
      </c>
      <c r="Q123" s="39">
        <f t="shared" si="60"/>
        <v>0</v>
      </c>
      <c r="R123" s="39">
        <f t="shared" si="51"/>
        <v>0</v>
      </c>
      <c r="S123" s="39">
        <f t="shared" si="61"/>
        <v>0</v>
      </c>
      <c r="T123" s="39"/>
      <c r="U123" s="6"/>
      <c r="V123" s="4"/>
      <c r="W123" s="7"/>
      <c r="X123" s="2"/>
      <c r="Y123" s="39">
        <f t="shared" si="62"/>
        <v>0</v>
      </c>
      <c r="Z123" s="40">
        <f t="shared" si="63"/>
        <v>0</v>
      </c>
      <c r="AA123" s="10">
        <v>500</v>
      </c>
      <c r="AB123" s="40">
        <f t="shared" si="64"/>
        <v>-500</v>
      </c>
      <c r="AC123" s="41">
        <f t="shared" si="66"/>
        <v>504</v>
      </c>
      <c r="AD123" s="42" t="e">
        <f>VLOOKUP(D123,#REF!,2,0)</f>
        <v>#REF!</v>
      </c>
      <c r="AE123" s="42" t="s">
        <v>54</v>
      </c>
      <c r="AF123" s="42">
        <v>9055.4</v>
      </c>
      <c r="AG123" s="43">
        <f t="shared" si="67"/>
        <v>9555.4</v>
      </c>
      <c r="AI123" s="6" t="s">
        <v>53</v>
      </c>
      <c r="AJ123" s="42" t="b">
        <f t="shared" si="68"/>
        <v>0</v>
      </c>
      <c r="AK123" s="6">
        <v>472</v>
      </c>
      <c r="AL123" s="6"/>
      <c r="AM123" s="6"/>
      <c r="AO123" s="76">
        <v>3316492655</v>
      </c>
      <c r="AP123" s="42" t="b">
        <f t="shared" si="69"/>
        <v>0</v>
      </c>
      <c r="AR123" s="201">
        <f t="shared" si="52"/>
        <v>4</v>
      </c>
      <c r="AS123" s="201">
        <f t="shared" si="53"/>
        <v>-1</v>
      </c>
      <c r="AT123" s="42">
        <v>5</v>
      </c>
    </row>
    <row r="124" spans="1:46">
      <c r="A124" s="35"/>
      <c r="B124" s="199"/>
      <c r="C124" s="76"/>
      <c r="D124" s="104"/>
      <c r="E124" s="53"/>
      <c r="F124" s="51">
        <f t="shared" ref="F124:AG124" si="70">SUM(F12:F123)</f>
        <v>71232</v>
      </c>
      <c r="G124" s="51">
        <f t="shared" si="70"/>
        <v>741</v>
      </c>
      <c r="H124" s="51">
        <f t="shared" si="70"/>
        <v>497</v>
      </c>
      <c r="I124" s="51">
        <f t="shared" si="70"/>
        <v>1238</v>
      </c>
      <c r="J124" s="51">
        <f t="shared" si="70"/>
        <v>471276</v>
      </c>
      <c r="K124" s="51">
        <f t="shared" si="70"/>
        <v>316092</v>
      </c>
      <c r="L124" s="51">
        <f t="shared" si="70"/>
        <v>787368</v>
      </c>
      <c r="M124" s="51">
        <f t="shared" si="70"/>
        <v>407550</v>
      </c>
      <c r="N124" s="51">
        <f t="shared" si="70"/>
        <v>20396</v>
      </c>
      <c r="O124" s="51">
        <f t="shared" si="70"/>
        <v>359422</v>
      </c>
      <c r="P124" s="51">
        <f t="shared" si="70"/>
        <v>787368</v>
      </c>
      <c r="Q124" s="51">
        <f t="shared" si="70"/>
        <v>48906</v>
      </c>
      <c r="R124" s="51">
        <f t="shared" si="70"/>
        <v>11775</v>
      </c>
      <c r="S124" s="51">
        <f t="shared" si="70"/>
        <v>5906</v>
      </c>
      <c r="T124" s="51">
        <f t="shared" si="70"/>
        <v>0</v>
      </c>
      <c r="U124" s="51">
        <f t="shared" si="70"/>
        <v>0</v>
      </c>
      <c r="V124" s="51">
        <f t="shared" si="70"/>
        <v>0</v>
      </c>
      <c r="W124" s="51">
        <f t="shared" si="70"/>
        <v>0</v>
      </c>
      <c r="X124" s="51">
        <f t="shared" si="70"/>
        <v>0</v>
      </c>
      <c r="Y124" s="51">
        <f t="shared" si="70"/>
        <v>66587</v>
      </c>
      <c r="Z124" s="51">
        <f t="shared" si="70"/>
        <v>720781</v>
      </c>
      <c r="AA124" s="51">
        <f t="shared" si="70"/>
        <v>55000</v>
      </c>
      <c r="AB124" s="51">
        <f t="shared" si="70"/>
        <v>665781</v>
      </c>
      <c r="AC124" s="51" t="e">
        <f t="shared" si="70"/>
        <v>#REF!</v>
      </c>
      <c r="AD124" s="51" t="e">
        <f t="shared" si="70"/>
        <v>#REF!</v>
      </c>
      <c r="AE124" s="51" t="e">
        <f t="shared" si="70"/>
        <v>#REF!</v>
      </c>
      <c r="AF124" s="51" t="e">
        <f t="shared" si="70"/>
        <v>#REF!</v>
      </c>
      <c r="AG124" s="51" t="e">
        <f t="shared" si="70"/>
        <v>#REF!</v>
      </c>
      <c r="AI124" s="49"/>
      <c r="AJ124" s="49"/>
      <c r="AK124" s="49"/>
      <c r="AL124" s="49"/>
      <c r="AM124" s="49"/>
    </row>
    <row r="125" spans="1:46">
      <c r="A125" s="54"/>
      <c r="B125" s="99"/>
      <c r="C125" s="105"/>
      <c r="D125" s="99"/>
      <c r="E125" s="56"/>
      <c r="F125" s="52"/>
      <c r="G125" s="52"/>
      <c r="H125" s="52"/>
      <c r="I125" s="52"/>
      <c r="J125" s="52"/>
      <c r="K125" s="52"/>
      <c r="L125" s="52"/>
      <c r="M125" s="52"/>
      <c r="N125" s="52"/>
      <c r="O125" s="52" t="s">
        <v>169</v>
      </c>
      <c r="P125" s="52"/>
      <c r="Q125" s="52" t="e">
        <f>#REF!</f>
        <v>#REF!</v>
      </c>
      <c r="R125" s="52" t="e">
        <f>#REF!</f>
        <v>#REF!</v>
      </c>
      <c r="S125" s="52" t="e">
        <f>#REF!</f>
        <v>#REF!</v>
      </c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I125" s="49"/>
      <c r="AJ125" s="49"/>
      <c r="AK125" s="49"/>
      <c r="AL125" s="49"/>
      <c r="AM125" s="49"/>
    </row>
    <row r="126" spans="1:46">
      <c r="A126" s="54"/>
      <c r="B126" s="93"/>
      <c r="C126" s="108"/>
      <c r="D126" s="71"/>
      <c r="E126" s="56"/>
      <c r="F126" s="52"/>
      <c r="G126" s="52"/>
      <c r="H126" s="52"/>
      <c r="I126" s="52"/>
      <c r="J126" s="52"/>
      <c r="K126" s="52"/>
      <c r="L126" s="52" t="s">
        <v>94</v>
      </c>
      <c r="M126" s="52">
        <f>M124*13%</f>
        <v>52981.5</v>
      </c>
      <c r="N126" s="52"/>
      <c r="O126" s="52" t="s">
        <v>170</v>
      </c>
      <c r="P126" s="52"/>
      <c r="Q126" s="52" t="e">
        <f>#REF!</f>
        <v>#REF!</v>
      </c>
      <c r="R126" s="52" t="e">
        <f>#REF!</f>
        <v>#REF!</v>
      </c>
      <c r="S126" s="52" t="e">
        <f>#REF!</f>
        <v>#REF!</v>
      </c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I126" s="49"/>
      <c r="AJ126" s="49"/>
      <c r="AK126" s="49"/>
      <c r="AL126" s="49"/>
      <c r="AM126" s="49"/>
    </row>
    <row r="127" spans="1:46">
      <c r="A127" s="54"/>
      <c r="B127" s="93"/>
      <c r="C127" s="108"/>
      <c r="D127" s="71"/>
      <c r="E127" s="56"/>
      <c r="F127" s="52"/>
      <c r="G127" s="52"/>
      <c r="H127" s="52"/>
      <c r="I127" s="52"/>
      <c r="J127" s="52"/>
      <c r="K127" s="52"/>
      <c r="L127" s="52" t="s">
        <v>95</v>
      </c>
      <c r="M127" s="52">
        <f>P124*3.75%</f>
        <v>29526.3</v>
      </c>
      <c r="N127" s="52"/>
      <c r="O127" s="52"/>
      <c r="P127" s="52"/>
      <c r="Q127" s="52" t="e">
        <f>Q125+Q126</f>
        <v>#REF!</v>
      </c>
      <c r="R127" s="52" t="e">
        <f>R125+R126</f>
        <v>#REF!</v>
      </c>
      <c r="S127" s="52" t="e">
        <f>S125+S126</f>
        <v>#REF!</v>
      </c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I127" s="49"/>
      <c r="AJ127" s="49"/>
      <c r="AK127" s="49"/>
      <c r="AL127" s="49"/>
      <c r="AM127" s="49"/>
    </row>
    <row r="128" spans="1:46">
      <c r="A128" s="54"/>
      <c r="B128" s="94"/>
      <c r="C128" s="108"/>
      <c r="D128" s="71"/>
      <c r="E128" s="56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 t="e">
        <f>Q124-Q127</f>
        <v>#REF!</v>
      </c>
      <c r="R128" s="52" t="e">
        <f>R124-R127</f>
        <v>#REF!</v>
      </c>
      <c r="S128" s="52" t="e">
        <f>S124-S127</f>
        <v>#REF!</v>
      </c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I128" s="49"/>
      <c r="AJ128" s="49"/>
      <c r="AK128" s="49"/>
      <c r="AL128" s="49"/>
      <c r="AM128" s="49"/>
    </row>
    <row r="129" spans="1:39">
      <c r="A129" s="54"/>
      <c r="B129" s="93"/>
      <c r="C129" s="76"/>
      <c r="D129" s="71"/>
      <c r="E129" s="56"/>
      <c r="F129" s="52"/>
      <c r="G129" s="87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I129" s="49"/>
      <c r="AJ129" s="49"/>
      <c r="AK129" s="49"/>
      <c r="AL129" s="49"/>
      <c r="AM129" s="49"/>
    </row>
    <row r="130" spans="1:39">
      <c r="A130" s="54"/>
      <c r="B130" s="93"/>
      <c r="C130" s="76"/>
      <c r="D130" s="71"/>
      <c r="E130" s="56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I130" s="49"/>
      <c r="AJ130" s="49"/>
      <c r="AK130" s="49"/>
      <c r="AL130" s="49"/>
      <c r="AM130" s="49"/>
    </row>
    <row r="131" spans="1:39">
      <c r="A131" s="54"/>
      <c r="B131" s="93"/>
      <c r="C131" s="76"/>
      <c r="D131" s="71"/>
      <c r="E131" s="56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I131" s="49"/>
      <c r="AJ131" s="49"/>
      <c r="AK131" s="49"/>
      <c r="AL131" s="49"/>
      <c r="AM131" s="49"/>
    </row>
    <row r="132" spans="1:39">
      <c r="A132" s="54"/>
      <c r="B132" s="79"/>
      <c r="C132" s="107"/>
      <c r="D132" s="91"/>
      <c r="E132" s="56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I132" s="49"/>
      <c r="AJ132" s="49"/>
      <c r="AK132" s="49"/>
      <c r="AL132" s="49"/>
      <c r="AM132" s="49"/>
    </row>
    <row r="133" spans="1:39">
      <c r="A133" s="54"/>
      <c r="B133" s="69"/>
      <c r="C133" s="109"/>
      <c r="D133" s="55"/>
      <c r="E133" s="56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I133" s="49"/>
      <c r="AJ133" s="49"/>
      <c r="AK133" s="49"/>
      <c r="AL133" s="49"/>
      <c r="AM133" s="49"/>
    </row>
    <row r="134" spans="1:39">
      <c r="A134" s="54"/>
      <c r="B134" s="69"/>
      <c r="C134" s="109"/>
      <c r="D134" s="55"/>
      <c r="E134" s="56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I134" s="49"/>
      <c r="AJ134" s="49"/>
      <c r="AK134" s="49"/>
      <c r="AL134" s="49"/>
      <c r="AM134" s="49"/>
    </row>
    <row r="135" spans="1:39">
      <c r="A135" s="54"/>
      <c r="B135" s="69"/>
      <c r="C135" s="109"/>
      <c r="D135" s="55"/>
      <c r="E135" s="56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8"/>
      <c r="Z135" s="58"/>
      <c r="AA135" s="57"/>
      <c r="AB135" s="58"/>
      <c r="AE135" s="46"/>
      <c r="AF135" s="46"/>
      <c r="AI135" s="49"/>
      <c r="AJ135" s="49"/>
      <c r="AK135" s="49"/>
      <c r="AL135" s="49"/>
      <c r="AM135" s="49"/>
    </row>
    <row r="136" spans="1:39">
      <c r="A136" s="54"/>
      <c r="B136" s="69"/>
      <c r="C136" s="109"/>
      <c r="D136" s="55"/>
      <c r="E136" s="56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8"/>
      <c r="Z136" s="58"/>
      <c r="AA136" s="57"/>
      <c r="AB136" s="58"/>
      <c r="AE136" s="46"/>
      <c r="AF136" s="46"/>
      <c r="AI136" s="49"/>
      <c r="AJ136" s="49"/>
      <c r="AK136" s="49"/>
      <c r="AL136" s="49"/>
      <c r="AM136" s="49"/>
    </row>
  </sheetData>
  <autoFilter ref="A7:AR128" xr:uid="{00000000-0009-0000-0000-000009000000}"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</autoFilter>
  <mergeCells count="28">
    <mergeCell ref="M7:M11"/>
    <mergeCell ref="A7:A11"/>
    <mergeCell ref="B7:B11"/>
    <mergeCell ref="C7:C11"/>
    <mergeCell ref="D7:D11"/>
    <mergeCell ref="F7:F11"/>
    <mergeCell ref="G7:G11"/>
    <mergeCell ref="H7:H11"/>
    <mergeCell ref="I7:I11"/>
    <mergeCell ref="J7:J11"/>
    <mergeCell ref="K7:K11"/>
    <mergeCell ref="L7:L11"/>
    <mergeCell ref="N7:N11"/>
    <mergeCell ref="O7:O11"/>
    <mergeCell ref="P7:P11"/>
    <mergeCell ref="Q7:Y7"/>
    <mergeCell ref="Z7:Z11"/>
    <mergeCell ref="AB7:AB11"/>
    <mergeCell ref="Q8:Q11"/>
    <mergeCell ref="R8:R11"/>
    <mergeCell ref="S8:S11"/>
    <mergeCell ref="T8:T11"/>
    <mergeCell ref="U8:U11"/>
    <mergeCell ref="V8:V11"/>
    <mergeCell ref="W8:W11"/>
    <mergeCell ref="X8:X11"/>
    <mergeCell ref="Y8:Y11"/>
    <mergeCell ref="AA7:AA11"/>
  </mergeCells>
  <conditionalFormatting sqref="B12:B63">
    <cfRule type="duplicateValues" dxfId="47" priority="57716"/>
    <cfRule type="duplicateValues" dxfId="46" priority="57714"/>
    <cfRule type="duplicateValues" dxfId="45" priority="57715"/>
  </conditionalFormatting>
  <conditionalFormatting sqref="B12:B74">
    <cfRule type="duplicateValues" dxfId="44" priority="57724"/>
    <cfRule type="duplicateValues" dxfId="43" priority="57723"/>
    <cfRule type="duplicateValues" dxfId="42" priority="57722"/>
  </conditionalFormatting>
  <conditionalFormatting sqref="B12:B76">
    <cfRule type="duplicateValues" dxfId="41" priority="57711"/>
  </conditionalFormatting>
  <conditionalFormatting sqref="B77:B94">
    <cfRule type="duplicateValues" dxfId="40" priority="6"/>
  </conditionalFormatting>
  <conditionalFormatting sqref="B133:B136">
    <cfRule type="duplicateValues" dxfId="39" priority="48953"/>
    <cfRule type="duplicateValues" dxfId="38" priority="48954"/>
    <cfRule type="duplicateValues" dxfId="37" priority="48952"/>
  </conditionalFormatting>
  <conditionalFormatting sqref="B133:B1048576 B1:B11">
    <cfRule type="duplicateValues" dxfId="36" priority="48955"/>
  </conditionalFormatting>
  <conditionalFormatting sqref="B133:B1048576">
    <cfRule type="duplicateValues" dxfId="35" priority="48963"/>
    <cfRule type="duplicateValues" dxfId="34" priority="48967"/>
    <cfRule type="duplicateValues" dxfId="33" priority="48959"/>
  </conditionalFormatting>
  <conditionalFormatting sqref="B133:E136 E124:E132">
    <cfRule type="duplicateValues" dxfId="32" priority="48950"/>
  </conditionalFormatting>
  <conditionalFormatting sqref="B133:E1048576 B1:E11 E124:E132">
    <cfRule type="duplicateValues" dxfId="31" priority="48930"/>
  </conditionalFormatting>
  <conditionalFormatting sqref="B133:E1048576">
    <cfRule type="duplicateValues" dxfId="30" priority="48940"/>
    <cfRule type="duplicateValues" dxfId="29" priority="48935"/>
  </conditionalFormatting>
  <conditionalFormatting sqref="B137:E1048576 B1:E11">
    <cfRule type="duplicateValues" dxfId="28" priority="48927"/>
  </conditionalFormatting>
  <conditionalFormatting sqref="C12:C56">
    <cfRule type="duplicateValues" dxfId="27" priority="57720"/>
  </conditionalFormatting>
  <conditionalFormatting sqref="C91">
    <cfRule type="duplicateValues" dxfId="26" priority="3"/>
  </conditionalFormatting>
  <conditionalFormatting sqref="C92:C94 C57:C90">
    <cfRule type="duplicateValues" dxfId="25" priority="5"/>
  </conditionalFormatting>
  <conditionalFormatting sqref="C95">
    <cfRule type="duplicateValues" dxfId="24" priority="2"/>
  </conditionalFormatting>
  <conditionalFormatting sqref="C96:C99">
    <cfRule type="duplicateValues" dxfId="23" priority="7"/>
  </conditionalFormatting>
  <conditionalFormatting sqref="C124:C1048576 C1:C11">
    <cfRule type="duplicateValues" dxfId="22" priority="42"/>
  </conditionalFormatting>
  <conditionalFormatting sqref="C126">
    <cfRule type="duplicateValues" dxfId="21" priority="139"/>
  </conditionalFormatting>
  <conditionalFormatting sqref="C132">
    <cfRule type="duplicateValues" dxfId="20" priority="138"/>
  </conditionalFormatting>
  <conditionalFormatting sqref="C133:E1048576 C1:E11 E124:E132">
    <cfRule type="duplicateValues" dxfId="19" priority="48945"/>
  </conditionalFormatting>
  <conditionalFormatting sqref="AO12">
    <cfRule type="duplicateValues" dxfId="18" priority="450"/>
    <cfRule type="duplicateValues" dxfId="17" priority="449"/>
  </conditionalFormatting>
  <conditionalFormatting sqref="AO58:AO95 AO13:AO56">
    <cfRule type="duplicateValues" dxfId="16" priority="451"/>
  </conditionalFormatting>
  <conditionalFormatting sqref="AO96:AO97">
    <cfRule type="duplicateValues" dxfId="15" priority="448"/>
    <cfRule type="duplicateValues" dxfId="14" priority="447"/>
  </conditionalFormatting>
  <conditionalFormatting sqref="AO99:AO100">
    <cfRule type="duplicateValues" dxfId="13" priority="228"/>
  </conditionalFormatting>
  <conditionalFormatting sqref="AO101:AO102">
    <cfRule type="duplicateValues" dxfId="12" priority="227"/>
    <cfRule type="duplicateValues" dxfId="11" priority="226"/>
  </conditionalFormatting>
  <conditionalFormatting sqref="AO104">
    <cfRule type="duplicateValues" dxfId="10" priority="137"/>
  </conditionalFormatting>
  <conditionalFormatting sqref="AO105:AO106">
    <cfRule type="duplicateValues" dxfId="9" priority="135"/>
    <cfRule type="duplicateValues" dxfId="8" priority="136"/>
  </conditionalFormatting>
  <conditionalFormatting sqref="AO108">
    <cfRule type="duplicateValues" dxfId="7" priority="57402"/>
  </conditionalFormatting>
  <conditionalFormatting sqref="AO109:AO110">
    <cfRule type="duplicateValues" dxfId="6" priority="114"/>
    <cfRule type="duplicateValues" dxfId="5" priority="113"/>
  </conditionalFormatting>
  <conditionalFormatting sqref="AO112">
    <cfRule type="duplicateValues" dxfId="4" priority="118"/>
    <cfRule type="duplicateValues" dxfId="3" priority="117"/>
  </conditionalFormatting>
  <conditionalFormatting sqref="AO113">
    <cfRule type="duplicateValues" dxfId="2" priority="56061"/>
  </conditionalFormatting>
  <conditionalFormatting sqref="AO114:AO118 AO122:AO123">
    <cfRule type="duplicateValues" dxfId="1" priority="61394"/>
  </conditionalFormatting>
  <conditionalFormatting sqref="AO119:AO121">
    <cfRule type="duplicateValues" dxfId="0" priority="1"/>
  </conditionalFormatting>
  <pageMargins left="0.70866141732283505" right="0.70866141732283505" top="0.19" bottom="0.28999999999999998" header="0.15" footer="0.31496062992126"/>
  <pageSetup paperSize="9" scale="30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Nilesh Send Tannage </vt:lpstr>
      <vt:lpstr>nilesh sir tannage</vt:lpstr>
      <vt:lpstr>FINAL TANNAGE AMO.</vt:lpstr>
      <vt:lpstr>REWORK</vt:lpstr>
      <vt:lpstr>Google attandance May -26</vt:lpstr>
      <vt:lpstr>(PF) WAGESH APR-26 Line-01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sumit.m2106@gmail.com</cp:lastModifiedBy>
  <cp:lastPrinted>2026-06-14T09:06:17Z</cp:lastPrinted>
  <dcterms:created xsi:type="dcterms:W3CDTF">2023-07-06T06:23:00Z</dcterms:created>
  <dcterms:modified xsi:type="dcterms:W3CDTF">2026-07-24T12:31:03Z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4C2B66BFD8A34E0194C7730F3983CCCD_12</vt:lpwstr>
  </property>
  <property fmtid="{D5CDD505-2E9C-101B-9397-08002B2CF9AE}" pid="3" name="KSOProductBuildVer">
    <vt:lpwstr>1033-12.2.0.16731</vt:lpwstr>
  </property>
</Properties>
</file>